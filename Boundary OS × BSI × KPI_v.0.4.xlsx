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Glossary" sheetId="2" r:id="rId5"/>
    <sheet state="visible" name="CASE_INPUT" sheetId="3" r:id="rId6"/>
    <sheet state="visible" name="Prompt_Generator" sheetId="4" r:id="rId7"/>
    <sheet state="visible" name="LAYER_SCORES" sheetId="5" r:id="rId8"/>
    <sheet state="visible" name="BSI_CALC" sheetId="6" r:id="rId9"/>
    <sheet state="visible" name="STATE_MACHINE" sheetId="7" r:id="rId10"/>
    <sheet state="visible" name="KPI" sheetId="8" r:id="rId11"/>
    <sheet state="visible" name="DASHBOARD" sheetId="9" r:id="rId12"/>
    <sheet state="visible" name="PARAMETERS" sheetId="10" r:id="rId13"/>
    <sheet state="visible" name="DATA_DICTIONARY" sheetId="11" r:id="rId14"/>
  </sheets>
  <definedNames>
    <definedName hidden="1" localSheetId="10" name="Z_D00BC9B6_6A8D_461D_9969_3E2CE619AADA_.wvu.FilterData">DATA_DICTIONARY!$A$3:$E$11</definedName>
    <definedName hidden="1" localSheetId="4" name="Z_0AD22A71_9F16_4BA0_BA3F_10377EF99D85_.wvu.FilterData">LAYER_SCORES!$A$4:$J$54</definedName>
    <definedName hidden="1" localSheetId="6" name="Z_C522BEFE_0160_4C60_8FA1_E3A197BFB3FC_.wvu.FilterData">STATE_MACHINE!$A$5:$F$55</definedName>
    <definedName hidden="1" localSheetId="5" name="Z_459C95D8_808C_416C_A9CE_9B59AF87EC91_.wvu.FilterData">BSI_CALC!$A$4:$K$54</definedName>
    <definedName hidden="1" localSheetId="2" name="Z_26697424_43E3_476A_A0C6_8930FCF08704_.wvu.FilterData">CASE_INPUT!$A$5:$O$55</definedName>
  </definedNames>
  <calcPr/>
  <customWorkbookViews>
    <customWorkbookView activeSheetId="0" maximized="1" windowHeight="0" windowWidth="0" guid="{0AD22A71-9F16-4BA0-BA3F-10377EF99D85}" name="LayerScores filter view"/>
    <customWorkbookView activeSheetId="0" maximized="1" windowHeight="0" windowWidth="0" guid="{459C95D8-808C-416C-A9CE-9B59AF87EC91}" name="BSITable filter view"/>
    <customWorkbookView activeSheetId="0" maximized="1" windowHeight="0" windowWidth="0" guid="{26697424-43E3-476A-A0C6-8930FCF08704}" name="CaseInput filter view"/>
    <customWorkbookView activeSheetId="0" maximized="1" windowHeight="0" windowWidth="0" guid="{D00BC9B6-6A8D-461D-9969-3E2CE619AADA}" name="DataDict filter view"/>
    <customWorkbookView activeSheetId="0" maximized="1" windowHeight="0" windowWidth="0" guid="{C522BEFE-0160-4C60-8FA1-E3A197BFB3FC}" name="StateTable filter view"/>
  </customWorkbookViews>
</workbook>
</file>

<file path=xl/sharedStrings.xml><?xml version="1.0" encoding="utf-8"?>
<sst xmlns="http://schemas.openxmlformats.org/spreadsheetml/2006/main" count="505" uniqueCount="336">
  <si>
    <t>Boundary OS × BSI × KPI — Spreadsheet v0.1 (Input/Output Spec + Prototype)</t>
  </si>
  <si>
    <t>Purpose</t>
  </si>
  <si>
    <t>Provide a minimal but functional workbook that ties together:</t>
  </si>
  <si>
    <t>• Five-layer scoring (L1–L5)</t>
  </si>
  <si>
    <t>• Boundary Stability Index (BSI) calculation</t>
  </si>
  <si>
    <t>• A simple Boundary State Machine (Normal → Tremor → Rupture → Repair)</t>
  </si>
  <si>
    <t>How to Use (Recommended)</t>
  </si>
  <si>
    <t>1.Enter contextual information in columns C–H.</t>
  </si>
  <si>
    <t>2.The prompt in column I will be generated automatically.</t>
  </si>
  <si>
    <t>3.Copy the generated prompt and submit it to your preferred LLM.</t>
  </si>
  <si>
    <t>4.Record returned scores in the BSI calculation sheet.</t>
  </si>
  <si>
    <t>5.Review outputs alongside qualitative context and uncertainty.</t>
  </si>
  <si>
    <t>Notes</t>
  </si>
  <si>
    <t>• All example numbers are synthetic placeholders (v0.1).</t>
  </si>
  <si>
    <t>• Units are documented in DATA_DICTIONARY.</t>
  </si>
  <si>
    <t>• Add new cases by inserting rows inside the CASE_INPUT table (Excel auto-expands).</t>
  </si>
  <si>
    <t>[ CASE_INPUT ]</t>
  </si>
  <si>
    <t>↓</t>
  </si>
  <si>
    <t>[ Prompt_Generator ]</t>
  </si>
  <si>
    <t xml:space="preserve">↓ </t>
  </si>
  <si>
    <t>[ LAYER_SCORES ]</t>
  </si>
  <si>
    <t>[ BSI_CALC ] ← PARAMETERS</t>
  </si>
  <si>
    <t>[ STATE_MACHINE ]</t>
  </si>
  <si>
    <t>[ KPI ]</t>
  </si>
  <si>
    <t>[ DASHBOARD ]</t>
  </si>
  <si>
    <t>📘 Glossary Sheet — Initial Entries (Draft v0.4)</t>
  </si>
  <si>
    <t>Term</t>
  </si>
  <si>
    <t>Short Definition</t>
  </si>
  <si>
    <t>Extended Definition</t>
  </si>
  <si>
    <t>Layer / Scope</t>
  </si>
  <si>
    <t>Appears In</t>
  </si>
  <si>
    <t>🅐–🅑（Boundary OS / BSI Core）</t>
  </si>
  <si>
    <t>Boundary Operating System (Boundary OS)</t>
  </si>
  <si>
    <t>A socio-technical operating framework for managing dynamic boundaries in AI-mediated societies.</t>
  </si>
  <si>
    <t>Boundary OS is a conceptual and operational framework that treats social, institutional, and technological boundaries as dynamic, multi-layered systems rather than fixed lines. It integrates sensing, visualization, tuning, and repair functions across five layers (Material, Physio-Sensory, Affective, Narrative, Social/Institutional) while enforcing non-dominant AI mediation. The goal is not threat exclusion but responsive security through continuous boundary regulation.</t>
  </si>
  <si>
    <t>OS (L1–L5)</t>
  </si>
  <si>
    <t>Boundary OS paper, Appendix G, Spreadsheet</t>
  </si>
  <si>
    <t>Acts as the parent architecture for BSI and State Machine logic.</t>
  </si>
  <si>
    <t>Boundary Stability Index (BSI)</t>
  </si>
  <si>
    <t>A composite index measuring the stability and responsiveness of boundaries across five layers.</t>
  </si>
  <si>
    <t>BSI is a quantitative composite index designed to operationalize Boundary OS for policy evaluation. It aggregates normalized layer scores (L1–L5) using weighted summation to assess whether a system remains responsive under stress or approaches rupture. Unlike conventional risk indices, BSI explicitly incorporates affective and narrative layers, enabling early detection of socio-political instability before institutional breakdown.</t>
  </si>
  <si>
    <t>BSI (L1–L5)</t>
  </si>
  <si>
    <t>BSI paper, Appendix F.9, Spreadsheet</t>
  </si>
  <si>
    <t>Designed for simulation, comparison, and policy intervention modeling.</t>
  </si>
  <si>
    <t>🅒–🅓（Conceptual Core）</t>
  </si>
  <si>
    <t>Boundary</t>
  </si>
  <si>
    <t>A functional interface regulating interaction, flow, and separation between systems.</t>
  </si>
  <si>
    <t>In Boundary OS, a boundary is not a wall but a regulatory membrane that modulates permeability, rigidity, and responsiveness. Boundaries exist across physical, biological, emotional, narrative, and institutional domains and are continuously reshaped by stress, interaction, and governance decisions.</t>
  </si>
  <si>
    <t>L1–L5</t>
  </si>
  <si>
    <t>Boundary OS paper</t>
  </si>
  <si>
    <t>Key departure from territorial or legal-only boundary models.</t>
  </si>
  <si>
    <t>Boundary Tremor (Tremor)</t>
  </si>
  <si>
    <t>A detectable micro-instability indicating stress within a boundary.</t>
  </si>
  <si>
    <t>A tremor is a low-intensity, often pre-conscious signal of instability occurring before overt rupture. Tremors may manifest as physiological stress, emotional polarization, narrative drift, or minor institutional friction. Boundary OS prioritizes tremor detection to enable early tuning rather than post-collapse repair.</t>
  </si>
  <si>
    <t>L2–L4</t>
  </si>
  <si>
    <t>Boundary OS, BSI</t>
  </si>
  <si>
    <t>Central to early-warning logic.</t>
  </si>
  <si>
    <t>Boundary Rupture</t>
  </si>
  <si>
    <t>A failure state where boundary regulation collapses.</t>
  </si>
  <si>
    <t>A rupture occurs when accumulated tremors exceed the system’s adaptive capacity, leading to loss of responsiveness (e.g., riots, policy deadlock, diplomatic breakdown). Boundary OS treats rupture as a recoverable state, provided repair mechanisms exist.</t>
  </si>
  <si>
    <t>L3–L5</t>
  </si>
  <si>
    <t>Not synonymous with violence; includes narrative and institutional collapse.</t>
  </si>
  <si>
    <t>🅔–🅖（Ethics &amp; Governance）</t>
  </si>
  <si>
    <t>Breathing Membrane</t>
  </si>
  <si>
    <t>A boundary state that remains open, adaptive, and responsive under stress.</t>
  </si>
  <si>
    <t>The breathing membrane metaphor describes an optimal boundary condition where permeability and rigidity are continuously tuned rather than fixed. It rejects both total closure (securitization) and total openness (loss of sovereignty), enabling sustainable coexistence in plural societies.</t>
  </si>
  <si>
    <t>OS Concept</t>
  </si>
  <si>
    <t>Core normative image of the framework.</t>
  </si>
  <si>
    <t>Non-Dominant AI Mediation</t>
  </si>
  <si>
    <t>AI assists boundary perception but never replaces human judgment.</t>
  </si>
  <si>
    <t>Non-dominant AI mediation mandates that AI systems may detect, classify, visualize, and simulate boundary states, but may not judge, decide, or enforce normative outcomes. This principle preserves human agency and democratic accountability while leveraging AI’s sensing capacity.</t>
  </si>
  <si>
    <t>OS / Ethics</t>
  </si>
  <si>
    <t>Boundary OS, Appendix D, G</t>
  </si>
  <si>
    <t>Violation invalidates Boundary OS compliance.</t>
  </si>
  <si>
    <t>🅗–🅚（KPI &amp; Measurement）</t>
  </si>
  <si>
    <t>Key Performance Indicator (KPI)</t>
  </si>
  <si>
    <t>An operational metric used to evaluate system performance.</t>
  </si>
  <si>
    <t>In Boundary OS and BSI, KPIs are not endpoints but observational instruments. They measure responsiveness, recovery speed, narrative coherence, and trust levels rather than optimization targets. KPIs are explicitly subordinated to boundary health, avoiding Goodhart’s Law.</t>
  </si>
  <si>
    <t>KPI / BSI</t>
  </si>
  <si>
    <t>BSI paper, Appendix F, G</t>
  </si>
  <si>
    <t>KPIs inform tuning, not automated decisions.</t>
  </si>
  <si>
    <t>Interdependence Index</t>
  </si>
  <si>
    <t>A measure of cross-boundary reliance and coordination.</t>
  </si>
  <si>
    <t>This index quantifies the degree to which systems (states, institutions, communities) share data, narratives, and operational coordination. In BSI, higher interdependence correlates with resilience only when accompanied by narrative alignment and ethical safeguards.</t>
  </si>
  <si>
    <t>L4–L5 / KPI</t>
  </si>
  <si>
    <t>BSI paper</t>
  </si>
  <si>
    <t>High interdependence without trust increases fragility.</t>
  </si>
  <si>
    <t>🅛–🅢（State Machine &amp; System Logic）</t>
  </si>
  <si>
    <t>State Machine (Boundary State Machine)</t>
  </si>
  <si>
    <t>A formal model describing boundary transitions over time.</t>
  </si>
  <si>
    <t>The Boundary State Machine models how a system transitions between stable, stressed, ruptured, and repaired states based on BSI thresholds and policy interventions. It enables simulation of if–then scenarios without prescriptive automation.</t>
  </si>
  <si>
    <t>OS / BSI</t>
  </si>
  <si>
    <t>Boundary OS, BSI, Spreadsheet</t>
  </si>
  <si>
    <t>Analytical tool, not control logic.</t>
  </si>
  <si>
    <t>Repair</t>
  </si>
  <si>
    <t>Post-rupture reconnection of boundary functions.</t>
  </si>
  <si>
    <t>Repair refers to restoring boundary responsiveness after rupture through narrative reconciliation, institutional adjustment, and trust rebuilding. Repair prioritizes legitimacy over speed and may involve deliberate slowdown.</t>
  </si>
  <si>
    <t>L4–L5</t>
  </si>
  <si>
    <t>Boundary OS</t>
  </si>
  <si>
    <t>Distinct from rollback or suppression.</t>
  </si>
  <si>
    <t>Operational Meaning</t>
  </si>
  <si>
    <t>Measurement / Reference</t>
  </si>
  <si>
    <t>Affective Layer</t>
  </si>
  <si>
    <t xml:space="preserve">L3
</t>
  </si>
  <si>
    <t>The layer representing collective and individual emotional states such as anxiety, fear, trust, anger, and relief that influence decision-making and social dynamics.</t>
  </si>
  <si>
    <t>Layer 3</t>
  </si>
  <si>
    <t>Often acts as a bridge between Physio-Sensory and Narrative layers.</t>
  </si>
  <si>
    <t>Used to detect emotional escalation preceding narrative or institutional rupture.</t>
  </si>
  <si>
    <t>Sentiment analysis, survey affect scores, media tone indices.</t>
  </si>
  <si>
    <t>AI Mediation (Non-dominant)</t>
  </si>
  <si>
    <t>AI-M</t>
  </si>
  <si>
    <t>A design principle in which AI systems function strictly as boundary media for sensing, visualization, and advisory support, without exercising judgment, authority, or enforcement.</t>
  </si>
  <si>
    <t>Cross-layer</t>
  </si>
  <si>
    <t>Boundary OS / Ethics</t>
  </si>
  <si>
    <t>Core ethical constraint of Boundary OS.</t>
  </si>
  <si>
    <t>AI may flag, simulate, or visualize but cannot decide or prescribe actions.</t>
  </si>
  <si>
    <t>Governance protocol compliance, override frequency.</t>
  </si>
  <si>
    <t>BOS</t>
  </si>
  <si>
    <t>A socio-technical framework for managing dynamic boundaries across material, physiological, affective, narrative, and institutional layers through sensing, tuning, and repair.</t>
  </si>
  <si>
    <t>Meta</t>
  </si>
  <si>
    <t>Provides the architecture connecting datasets, dashboards, and decision protocols.</t>
  </si>
  <si>
    <t>System-wide performance indicators, rupture frequency.</t>
  </si>
  <si>
    <t>BSI</t>
  </si>
  <si>
    <t>A composite index quantifying the stability of multi-layer boundaries by aggregating weighted layer scores.</t>
  </si>
  <si>
    <t>Designed for comparative and longitudinal analysis.</t>
  </si>
  <si>
    <t>Primary output metric for policy monitoring and simulation.</t>
  </si>
  <si>
    <t>BSI=∑i=15wi⋅Li\text{BSI} = \sum_{i=1}^{5} w_i \cdot L_iBSI=∑i=15​wi​⋅Li​</t>
  </si>
  <si>
    <t>BM</t>
  </si>
  <si>
    <t>A metaphor describing boundaries as adaptive, permeable, and responsive systems rather than rigid walls or collapsed interfaces.</t>
  </si>
  <si>
    <t>Philosophical core of Responsive Security.</t>
  </si>
  <si>
    <t>Guides tuning decisions (do not seal, do not rupture).</t>
  </si>
  <si>
    <t>Variance tolerance thresholds, permeability indicators.</t>
  </si>
  <si>
    <t>Co-Subjectivity</t>
  </si>
  <si>
    <t>Co-Sub</t>
  </si>
  <si>
    <t>An ontological stance in which humans and non-human agents (including AI) participate in shared processes without collapsing into a single subject or hierarchy.</t>
  </si>
  <si>
    <t>Ethics / Techno-Animism</t>
  </si>
  <si>
    <t>Distinguishes Boundary OS from instrumental AI models.</t>
  </si>
  <si>
    <t>Justifies AI as a participant medium, not a sovereign actor.</t>
  </si>
  <si>
    <t>Not directly quantified; reflected in governance design.</t>
  </si>
  <si>
    <t>Dynamic Ethical Boundary Lines</t>
  </si>
  <si>
    <t>DEBL</t>
  </si>
  <si>
    <t>A framework describing ethical boundaries as context-sensitive, temporally adaptive lines rather than fixed prohibitions.</t>
  </si>
  <si>
    <t>Ethics / Method</t>
  </si>
  <si>
    <t>Ethical backbone for Boundary OS and BSI.</t>
  </si>
  <si>
    <t>Supports conditional rule-setting in AI governance.</t>
  </si>
  <si>
    <t>Ethical override logs, audit outcomes.</t>
  </si>
  <si>
    <t>KPI</t>
  </si>
  <si>
    <t>Quantitative or qualitative metrics used to evaluate system performance relative to predefined objectives.</t>
  </si>
  <si>
    <t>KPIs are inputs to BSI, not substitutes for it.</t>
  </si>
  <si>
    <t>Used to validate Boundary OS interventions and BSI changes.</t>
  </si>
  <si>
    <t>Response time, trust scores, rupture frequency.</t>
  </si>
  <si>
    <t>Universal Plurality</t>
  </si>
  <si>
    <t>UP</t>
  </si>
  <si>
    <t>The principle that universality emerges from sustained coexistence of irreducible differences rather than homogenization.</t>
  </si>
  <si>
    <t>Core normative principle of the project.</t>
  </si>
  <si>
    <t>Justifies multi-layer, non-unified metrics like BSI.</t>
  </si>
  <si>
    <t>Reflected indirectly through diversity and resilience indicators.</t>
  </si>
  <si>
    <t>Case Input (raw indicators + optional layer scores)</t>
  </si>
  <si>
    <t>Enter cases row-by-row. You may either: (a) fill raw indicators, or (b) directly input Layer Scores L1–L5.</t>
  </si>
  <si>
    <t>Case_ID</t>
  </si>
  <si>
    <t>Date</t>
  </si>
  <si>
    <t>Region/Scope</t>
  </si>
  <si>
    <t>Scenario</t>
  </si>
  <si>
    <t>Raw: Border arrivals (k)</t>
  </si>
  <si>
    <t>Raw: Housing pressure (0-100)</t>
  </si>
  <si>
    <t>Raw: Cyber incidents (count)</t>
  </si>
  <si>
    <t>Raw: Media negativity (0-100)</t>
  </si>
  <si>
    <t>Raw: Institutional backlog (days)</t>
  </si>
  <si>
    <t>Layer Score L1 (0-100)</t>
  </si>
  <si>
    <t>L2 (0-100)</t>
  </si>
  <si>
    <t>L3 (0-100)</t>
  </si>
  <si>
    <t>L4 (0-100)</t>
  </si>
  <si>
    <t>L5 (0-100)</t>
  </si>
  <si>
    <t>EU-2015</t>
  </si>
  <si>
    <t>EU</t>
  </si>
  <si>
    <t>Migration crisis (synthetic)</t>
  </si>
  <si>
    <t>placeholder</t>
  </si>
  <si>
    <t>EU-2023</t>
  </si>
  <si>
    <t>Migration pressure (synthetic)</t>
  </si>
  <si>
    <t>SG-TRI-2026Q4</t>
  </si>
  <si>
    <t>SG/TW/EE</t>
  </si>
  <si>
    <t>Tri-nation pilot baseline</t>
  </si>
  <si>
    <t>synthetic</t>
  </si>
  <si>
    <t>📄 Prompt Generation Sheet</t>
  </si>
  <si>
    <t>(Boundary OS × BSI | Spreadsheet v0.4)</t>
  </si>
  <si>
    <t>🟦 Section 1: Context Input</t>
  </si>
  <si>
    <t>Prompt:Example</t>
  </si>
  <si>
    <t>Entry ID</t>
  </si>
  <si>
    <t>Context Type</t>
  </si>
  <si>
    <t>Geographic Scope</t>
  </si>
  <si>
    <t>Situation Description</t>
  </si>
  <si>
    <t>Observed Signals</t>
  </si>
  <si>
    <t>Affected Layers</t>
  </si>
  <si>
    <t>Policy Phase</t>
  </si>
  <si>
    <t>Prompt (Auto-generated)</t>
  </si>
  <si>
    <t>AI Output (Manual Paste)</t>
  </si>
  <si>
    <t xml:space="preserve">You are an analytical assistant tasked with quantifying social stability 
using the Boundary Stability Index (BSI).
Context:
- Policy domain: {{Context Type}}
- Geographic scope: {{Geographic Scope}}
- Policy phase: {{Policy Phase}}
Situation description:
{{Situation Description}}
Observed signals: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
</t>
  </si>
  <si>
    <t>Unique ID for this case (e.g., EU-2015-01)</t>
  </si>
  <si>
    <t>YYYY-MM-DD</t>
  </si>
  <si>
    <t>Migration / Policing / Healthcare / Other</t>
  </si>
  <si>
    <t>EU-wide / National / Local</t>
  </si>
  <si>
    <t>Free text description (wrap text ON)</t>
  </si>
  <si>
    <t xml:space="preserve">List observable signals only.
Examples:
- protest frequency increased in urban areas
- border processing delays reported
- media reports of public anxiety
- institutional capacity strain indicators
Avoid interpretations or intent.
</t>
  </si>
  <si>
    <t xml:space="preserve">Specify affected layers using L1–L5 notation.
Example:
L1, L3, L4
L1 = Material
L2 = Physio-Sensory
L3 = Affective
L4 = Narrative
L5 = Social/Institutional
</t>
  </si>
  <si>
    <t>Pre-crisis / Crisis / Recovery</t>
  </si>
  <si>
    <t>copy</t>
  </si>
  <si>
    <t>paste</t>
  </si>
  <si>
    <t>Migration</t>
  </si>
  <si>
    <t>EU-wide</t>
  </si>
  <si>
    <t>A sudden increase in irregular border crossings has been reported in multiple EU member states.</t>
  </si>
  <si>
    <t>protest frequency increased in urban areas</t>
  </si>
  <si>
    <t>L3</t>
  </si>
  <si>
    <t>Pre-crisis</t>
  </si>
  <si>
    <t>L1 (Material): 65 / Justification Reports of a "sudden increase" in crossings imply immediate physical strain on border infrastructure and processing capacity. However, there is no signal of total physical breach or infrastructure collapse yet.
L2 (Physio-Sensory): 75 / Justification While operational tempo has likely increased, causing potential fatigue among border personnel, there are no specific reports of violence, injury, or health emergencies (e.g., epidemic, starvation) at this stage. (Uncertainty: High, due to lack of specific biometric/medical data).
L3 (Affective): 45 / Justification The observed signal "increased protest frequency" is a critical indicator of high collective anxiety and emotional volatility. This layer is currently the primary source of instability (Tremor) and requires immediate attention to prevent escalation.
L4 (Narrative): 55 / Justification Public protests indicate a divergence in meaning-making and rising polarization regarding the migration event. The narrative boundary is under significant stress ("us vs. them" framing), though it has not yet fully ruptured into widespread chaotic conflict.
L5 (Social/Institutional): 60 / Justification The situation involves "multiple member states," suggesting a strain on cross-border coordination mechanisms. While still in the "Pre-crisis" phase, the suddenness suggests institutions are reactive rather than proactive, likely leading to processing delays.</t>
  </si>
  <si>
    <t>←for example</t>
  </si>
  <si>
    <t>🔹 Example Entry</t>
  </si>
  <si>
    <t>Context Type: Migration</t>
  </si>
  <si>
    <t>Geographic Scope: EU-wide</t>
  </si>
  <si>
    <t>Policy Phase: Crisis</t>
  </si>
  <si>
    <t>Situation Description:</t>
  </si>
  <si>
    <t>Public discourse shows heightened anxiety, while political actors issue conflicting statements.</t>
  </si>
  <si>
    <t>Observed Signals:</t>
  </si>
  <si>
    <t>Increase in border enforcement activity</t>
  </si>
  <si>
    <t>Media framing migrants as security threat</t>
  </si>
  <si>
    <t>Divergent national policy responses</t>
  </si>
  <si>
    <t>Layer Scores (computed if blank; otherwise pass-through from CASE_INPUT)</t>
  </si>
  <si>
    <t>L1</t>
  </si>
  <si>
    <t>L2</t>
  </si>
  <si>
    <t>L4</t>
  </si>
  <si>
    <t>L5</t>
  </si>
  <si>
    <t>Rule notes</t>
  </si>
  <si>
    <t>v0.1 heuristics; replace with calibrated models</t>
  </si>
  <si>
    <t>BSI Calculation</t>
  </si>
  <si>
    <t>BSI Δ (vs prev)</t>
  </si>
  <si>
    <t>Boundary State Machine (prototype logic)</t>
  </si>
  <si>
    <t>States: Stable / Normal / Tremor / Escalating / Rupture / Repairing</t>
  </si>
  <si>
    <t>Min Layer</t>
  </si>
  <si>
    <t>BSI Δ</t>
  </si>
  <si>
    <t>State (computed)</t>
  </si>
  <si>
    <t>Trigger notes</t>
  </si>
  <si>
    <t>v0.1 rule-based; refine with transition probabilities</t>
  </si>
  <si>
    <t>KPI Targets &amp; Tracking (prototype)</t>
  </si>
  <si>
    <t>Target</t>
  </si>
  <si>
    <t>Actual (from cases)</t>
  </si>
  <si>
    <t>Tremor detection accuracy</t>
  </si>
  <si>
    <t>≥ 85%</t>
  </si>
  <si>
    <t>—</t>
  </si>
  <si>
    <t>Connect to evaluation dataset</t>
  </si>
  <si>
    <t>Incident response time reduction</t>
  </si>
  <si>
    <t>−30%</t>
  </si>
  <si>
    <t>Input from ops logs (hours)</t>
  </si>
  <si>
    <t>Cross-border adoption</t>
  </si>
  <si>
    <t>50% by 2028</t>
  </si>
  <si>
    <t>Share of tools using OS metrics</t>
  </si>
  <si>
    <t>Ethical compliance score</t>
  </si>
  <si>
    <t>≥ 90%</t>
  </si>
  <si>
    <t>Audit outputs</t>
  </si>
  <si>
    <t>Stakeholder NPS</t>
  </si>
  <si>
    <t>≥ 70</t>
  </si>
  <si>
    <t>Survey results</t>
  </si>
  <si>
    <t>≥ 80 (stable)</t>
  </si>
  <si>
    <t>Average BSI across loaded cases</t>
  </si>
  <si>
    <t>Dashboard (demo)</t>
  </si>
  <si>
    <t>Average BSI</t>
  </si>
  <si>
    <t>Worst (min) BSI</t>
  </si>
  <si>
    <t>Latest state</t>
  </si>
  <si>
    <t>Cases loaded</t>
  </si>
  <si>
    <t>Parameters (edit these)</t>
  </si>
  <si>
    <t>BSI weights (must sum to 1.00)</t>
  </si>
  <si>
    <t>Layer</t>
  </si>
  <si>
    <t>Code</t>
  </si>
  <si>
    <t>Weight w_i</t>
  </si>
  <si>
    <t>Description</t>
  </si>
  <si>
    <t>Material</t>
  </si>
  <si>
    <t>Infrastructure &amp; physical boundary integrity</t>
  </si>
  <si>
    <t>Physio-Sensory</t>
  </si>
  <si>
    <t>Sensor/operational signals, reflex-level disruptions</t>
  </si>
  <si>
    <t>Affective</t>
  </si>
  <si>
    <t>Public/actor stress, anxiety, escalation</t>
  </si>
  <si>
    <t>Narrative</t>
  </si>
  <si>
    <t>Story/meaning drift, misinformation pressure</t>
  </si>
  <si>
    <t>Social/Institutional</t>
  </si>
  <si>
    <t>Legal/administrative capacity &amp; legitimacy</t>
  </si>
  <si>
    <t>State Machine thresholds (edit these)</t>
  </si>
  <si>
    <t>Parameter</t>
  </si>
  <si>
    <t>Value</t>
  </si>
  <si>
    <t>Meaning</t>
  </si>
  <si>
    <t>BSI_TREMOR</t>
  </si>
  <si>
    <t>Below this → Tremor risk</t>
  </si>
  <si>
    <t>BSI_RUPTURE</t>
  </si>
  <si>
    <t>Below this → Rupture</t>
  </si>
  <si>
    <t>BSI_STABLE</t>
  </si>
  <si>
    <t>Above this → Stable</t>
  </si>
  <si>
    <t>DELTA_ALERT</t>
  </si>
  <si>
    <t>BSI change &lt;= this (per period) → Escalation alert</t>
  </si>
  <si>
    <t>MIN_LAYER_SCORE_RUPTURE</t>
  </si>
  <si>
    <t>If any layer &lt;= this → Rupture override</t>
  </si>
  <si>
    <t>Data Dictionary (v0.1)</t>
  </si>
  <si>
    <t>Field</t>
  </si>
  <si>
    <t>Unit/Scale</t>
  </si>
  <si>
    <t>Source (expected)</t>
  </si>
  <si>
    <t>Estimated arrivals/entries relevant to the boundary case</t>
  </si>
  <si>
    <t>thousands</t>
  </si>
  <si>
    <t>Eurostat/UNHCR/national sources</t>
  </si>
  <si>
    <t>Synthetic in v0.1</t>
  </si>
  <si>
    <t>Raw: Housing pressure</t>
  </si>
  <si>
    <t>Capacity strain proxy (housing, shelters)</t>
  </si>
  <si>
    <t>0–100 (higher=worse)</t>
  </si>
  <si>
    <t>national housing agencies</t>
  </si>
  <si>
    <t>Map to L3</t>
  </si>
  <si>
    <t>Raw: Cyber incidents</t>
  </si>
  <si>
    <t>Count of significant cross-border cyber incidents</t>
  </si>
  <si>
    <t>count</t>
  </si>
  <si>
    <t>CERT/CSIRT reports</t>
  </si>
  <si>
    <t>Map to L2</t>
  </si>
  <si>
    <t>Raw: Media negativity</t>
  </si>
  <si>
    <t>Negativity/hostility score in media discourse</t>
  </si>
  <si>
    <t>media monitoring</t>
  </si>
  <si>
    <t>Map to L4</t>
  </si>
  <si>
    <t>Raw: Institutional backlog</t>
  </si>
  <si>
    <t>Processing backlog (e.g., asylum claims)</t>
  </si>
  <si>
    <t>days</t>
  </si>
  <si>
    <t>interior ministry</t>
  </si>
  <si>
    <t>Map to L5</t>
  </si>
  <si>
    <t>Layer stability scores</t>
  </si>
  <si>
    <t>0–100 (higher=more stable)</t>
  </si>
  <si>
    <t>derived</t>
  </si>
  <si>
    <t>Direct inputs or computed</t>
  </si>
  <si>
    <t>Weighted composite boundary stability index</t>
  </si>
  <si>
    <t>0–100</t>
  </si>
  <si>
    <t>computed</t>
  </si>
  <si>
    <t>BSI=∑ w_i L_i</t>
  </si>
  <si>
    <t>State</t>
  </si>
  <si>
    <t>Boundary state machine output</t>
  </si>
  <si>
    <t>categorical</t>
  </si>
  <si>
    <t>Rule-based in v0.1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</si>
</sst>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1.0"/>
      <color theme="1"/>
      <name val="Calibri"/>
      <scheme val="minor"/>
    </font>
    <font>
      <b/>
      <sz val="14.0"/>
      <color theme="1"/>
      <name val="Times New Roman"/>
    </font>
    <font>
      <color theme="1"/>
      <name val="Times New Roman"/>
    </font>
    <font>
      <b/>
      <color theme="1"/>
      <name val="Times New Roman"/>
    </font>
    <font>
      <b/>
      <color theme="1"/>
      <name val="Calibri"/>
      <scheme val="minor"/>
    </font>
    <font>
      <sz val="14.0"/>
      <color theme="1"/>
      <name val="Times New Roman"/>
    </font>
    <font>
      <sz val="11.0"/>
      <color theme="1"/>
      <name val="Times New Roman"/>
    </font>
    <font>
      <b/>
      <sz val="13.0"/>
      <color theme="1"/>
      <name val="Calibri"/>
      <scheme val="minor"/>
    </font>
    <font>
      <sz val="11.0"/>
      <color theme="1"/>
      <name val="Calibri"/>
    </font>
    <font>
      <b/>
      <color rgb="FFFFFFFF"/>
      <name val="Calibri"/>
      <scheme val="minor"/>
    </font>
    <font>
      <b/>
      <sz val="24.0"/>
      <color theme="1"/>
      <name val="Times New Roman"/>
    </font>
    <font>
      <b/>
      <sz val="18.0"/>
      <color theme="1"/>
      <name val="Times New Roman"/>
    </font>
    <font>
      <color theme="1"/>
      <name val="Calibri"/>
      <scheme val="minor"/>
    </font>
    <font>
      <sz val="10.0"/>
      <color theme="1"/>
      <name val="Times New Roman"/>
    </font>
  </fonts>
  <fills count="4">
    <fill>
      <patternFill patternType="none"/>
    </fill>
    <fill>
      <patternFill patternType="lightGray"/>
    </fill>
    <fill>
      <patternFill patternType="solid">
        <fgColor rgb="FF1F4E79"/>
        <bgColor rgb="FF1F4E79"/>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style="thin">
        <color rgb="FF9E9E9E"/>
      </left>
      <right style="thin">
        <color rgb="FF9E9E9E"/>
      </right>
      <top style="thin">
        <color rgb="FF9E9E9E"/>
      </top>
      <bottom style="thin">
        <color rgb="FF9E9E9E"/>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3" numFmtId="0" xfId="0" applyAlignment="1" applyFont="1">
      <alignment readingOrder="0"/>
    </xf>
    <xf borderId="0" fillId="0" fontId="4" numFmtId="0" xfId="0" applyFont="1"/>
    <xf borderId="0" fillId="0" fontId="2" numFmtId="0" xfId="0" applyAlignment="1" applyFont="1">
      <alignment readingOrder="0"/>
    </xf>
    <xf borderId="0" fillId="0" fontId="1" numFmtId="0" xfId="0" applyAlignment="1" applyFont="1">
      <alignment readingOrder="0"/>
    </xf>
    <xf borderId="0" fillId="0" fontId="5" numFmtId="0" xfId="0" applyAlignment="1" applyFont="1">
      <alignment horizontal="center" readingOrder="0"/>
    </xf>
    <xf borderId="0" fillId="0" fontId="2" numFmtId="0" xfId="0" applyAlignment="1" applyFont="1">
      <alignment horizontal="center" readingOrder="0"/>
    </xf>
    <xf borderId="1" fillId="0" fontId="1"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0" fillId="0" fontId="6" numFmtId="0" xfId="0" applyAlignment="1" applyFont="1">
      <alignment readingOrder="0"/>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1" numFmtId="0" xfId="0" applyAlignment="1" applyFont="1">
      <alignment readingOrder="0" shrinkToFit="0" vertical="center" wrapText="0"/>
    </xf>
    <xf borderId="1" fillId="0" fontId="2" numFmtId="0" xfId="0" applyAlignment="1" applyBorder="1" applyFont="1">
      <alignment readingOrder="0" shrinkToFit="0" vertical="center" wrapText="1"/>
    </xf>
    <xf borderId="0" fillId="0" fontId="1" numFmtId="0" xfId="0" applyFont="1"/>
    <xf borderId="0" fillId="0" fontId="7" numFmtId="0" xfId="0" applyFont="1"/>
    <xf borderId="0" fillId="0" fontId="8" numFmtId="0" xfId="0" applyAlignment="1" applyFont="1">
      <alignment shrinkToFit="0" wrapText="1"/>
    </xf>
    <xf borderId="2" fillId="2" fontId="9" numFmtId="0" xfId="0" applyAlignment="1" applyBorder="1" applyFill="1" applyFont="1">
      <alignment horizontal="center" readingOrder="0" shrinkToFit="0" vertical="center" wrapText="1"/>
    </xf>
    <xf borderId="2" fillId="0" fontId="8" numFmtId="0" xfId="0" applyAlignment="1" applyBorder="1" applyFont="1">
      <alignment shrinkToFit="0" vertical="top" wrapText="1"/>
    </xf>
    <xf borderId="2" fillId="0" fontId="8" numFmtId="164" xfId="0" applyAlignment="1" applyBorder="1" applyFont="1" applyNumberFormat="1">
      <alignment shrinkToFit="0" vertical="top" wrapText="1"/>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2" numFmtId="0" xfId="0" applyAlignment="1" applyFont="1">
      <alignment horizontal="left" readingOrder="0" shrinkToFit="0" vertical="center" wrapText="0"/>
    </xf>
    <xf borderId="1" fillId="0" fontId="2" numFmtId="0" xfId="0" applyAlignment="1" applyBorder="1" applyFont="1">
      <alignment readingOrder="0" shrinkToFit="0" wrapText="1"/>
    </xf>
    <xf borderId="1" fillId="3" fontId="2" numFmtId="0" xfId="0" applyAlignment="1" applyBorder="1" applyFill="1" applyFont="1">
      <alignment readingOrder="0"/>
    </xf>
    <xf borderId="1" fillId="3" fontId="2" numFmtId="0" xfId="0" applyAlignment="1" applyBorder="1" applyFont="1">
      <alignment horizontal="center" readingOrder="0" vertical="center"/>
    </xf>
    <xf borderId="1" fillId="3" fontId="2" numFmtId="0" xfId="0" applyAlignment="1" applyBorder="1" applyFont="1">
      <alignment horizontal="center" readingOrder="0" shrinkToFit="0" vertical="center" wrapText="1"/>
    </xf>
    <xf borderId="1" fillId="0" fontId="2" numFmtId="0" xfId="0" applyAlignment="1" applyBorder="1" applyFont="1">
      <alignment readingOrder="0"/>
    </xf>
    <xf borderId="1" fillId="0" fontId="2" numFmtId="164" xfId="0" applyAlignment="1" applyBorder="1" applyFont="1" applyNumberFormat="1">
      <alignment readingOrder="0"/>
    </xf>
    <xf borderId="1" fillId="0" fontId="2" numFmtId="0" xfId="0" applyAlignment="1" applyBorder="1" applyFont="1">
      <alignment shrinkToFit="0" wrapText="1"/>
    </xf>
    <xf borderId="0" fillId="0" fontId="13" numFmtId="0" xfId="0" applyAlignment="1" applyFont="1">
      <alignment readingOrder="0" shrinkToFit="0" wrapText="1"/>
    </xf>
    <xf borderId="1" fillId="0" fontId="2" numFmtId="0" xfId="0" applyBorder="1" applyFont="1"/>
    <xf borderId="1" fillId="0" fontId="3" numFmtId="0" xfId="0" applyAlignment="1" applyBorder="1" applyFont="1">
      <alignment horizontal="center" readingOrder="0"/>
    </xf>
    <xf borderId="0" fillId="0" fontId="6" numFmtId="0" xfId="0" applyFont="1"/>
    <xf borderId="0" fillId="0" fontId="4" numFmtId="0" xfId="0" applyAlignment="1" applyFont="1">
      <alignment horizontal="center" readingOrder="0"/>
    </xf>
    <xf borderId="1" fillId="0" fontId="3" numFmtId="0" xfId="0" applyAlignment="1" applyBorder="1" applyFont="1">
      <alignment horizontal="center" readingOrder="0" shrinkToFit="0" wrapText="1"/>
    </xf>
    <xf borderId="1" fillId="0" fontId="12" numFmtId="0" xfId="0" applyBorder="1" applyFont="1"/>
    <xf borderId="1" fillId="0" fontId="12" numFmtId="0" xfId="0" applyAlignment="1" applyBorder="1" applyFont="1">
      <alignment shrinkToFit="0" wrapText="1"/>
    </xf>
    <xf borderId="2" fillId="2" fontId="9" numFmtId="0" xfId="0" applyAlignment="1" applyBorder="1" applyFont="1">
      <alignment horizontal="center"/>
    </xf>
    <xf borderId="2" fillId="0" fontId="8" numFmtId="0" xfId="0" applyAlignment="1" applyBorder="1" applyFont="1">
      <alignment shrinkToFit="0" vertical="top" wrapText="1"/>
    </xf>
    <xf borderId="2" fillId="0" fontId="4" numFmtId="0" xfId="0" applyBorder="1" applyFont="1"/>
    <xf borderId="2" fillId="0" fontId="8" numFmtId="0" xfId="0" applyBorder="1" applyFont="1"/>
    <xf borderId="0" fillId="0" fontId="4" numFmtId="0" xfId="0" applyFont="1"/>
    <xf borderId="2" fillId="2" fontId="9" numFmtId="0" xfId="0" applyAlignment="1" applyBorder="1" applyFont="1">
      <alignment horizontal="center" shrinkToFit="0" wrapText="1"/>
    </xf>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
      <border>
        <left style="thin">
          <color theme="4"/>
        </left>
        <right style="thin">
          <color theme="4"/>
        </right>
        <top style="thin">
          <color theme="4"/>
        </top>
        <bottom style="thin">
          <color theme="4"/>
        </bottom>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CASE_INPUT-style">
      <tableStyleElement dxfId="1" type="headerRow"/>
      <tableStyleElement dxfId="2" type="firstRowStripe"/>
      <tableStyleElement dxfId="3" type="secondRowStripe"/>
      <tableStyleElement dxfId="4" size="0" type="wholeTable"/>
    </tableStyle>
    <tableStyle count="4" pivot="0" name="Prompt_Generator-style">
      <tableStyleElement dxfId="5" type="headerRow"/>
      <tableStyleElement dxfId="6" type="firstRowStripe"/>
      <tableStyleElement dxfId="7" type="secondRowStripe"/>
      <tableStyleElement dxfId="8" size="0" type="wholeTable"/>
    </tableStyle>
    <tableStyle count="4" pivot="0" name="LAYER_SCORES-style">
      <tableStyleElement dxfId="1" type="headerRow"/>
      <tableStyleElement dxfId="2" type="firstRowStripe"/>
      <tableStyleElement dxfId="3" type="secondRowStripe"/>
      <tableStyleElement dxfId="4" size="0" type="wholeTable"/>
    </tableStyle>
    <tableStyle count="4" pivot="0" name="BSI_CALC-style">
      <tableStyleElement dxfId="1" type="headerRow"/>
      <tableStyleElement dxfId="2" type="firstRowStripe"/>
      <tableStyleElement dxfId="3" type="secondRowStripe"/>
      <tableStyleElement dxfId="4" size="0" type="wholeTable"/>
    </tableStyle>
    <tableStyle count="4" pivot="0" name="STATE_MACHINE-style">
      <tableStyleElement dxfId="1" type="headerRow"/>
      <tableStyleElement dxfId="2" type="firstRowStripe"/>
      <tableStyleElement dxfId="3" type="secondRowStripe"/>
      <tableStyleElement dxfId="4" size="0" type="wholeTable"/>
    </tableStyle>
    <tableStyle count="4" pivot="0" name="DATA_DICTION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O55" displayName="CaseInput" name="CaseInput" id="1">
  <tableColumns count="15">
    <tableColumn name="Case_ID" id="1"/>
    <tableColumn name="Date" id="2"/>
    <tableColumn name="Region/Scope" id="3"/>
    <tableColumn name="Scenario" id="4"/>
    <tableColumn name="Notes" id="5"/>
    <tableColumn name="Raw: Border arrivals (k)" id="6"/>
    <tableColumn name="Raw: Housing pressure (0-100)" id="7"/>
    <tableColumn name="Raw: Cyber incidents (count)" id="8"/>
    <tableColumn name="Raw: Media negativity (0-100)" id="9"/>
    <tableColumn name="Raw: Institutional backlog (days)" id="10"/>
    <tableColumn name="Layer Score L1 (0-100)" id="11"/>
    <tableColumn name="L2 (0-100)" id="12"/>
    <tableColumn name="L3 (0-100)" id="13"/>
    <tableColumn name="L4 (0-100)" id="14"/>
    <tableColumn name="L5 (0-100)" id="15"/>
  </tableColumns>
  <tableStyleInfo name="CASE_INPUT-style" showColumnStripes="0" showFirstColumn="1" showLastColumn="1" showRowStripes="1"/>
</table>
</file>

<file path=xl/tables/table2.xml><?xml version="1.0" encoding="utf-8"?>
<table xmlns="http://schemas.openxmlformats.org/spreadsheetml/2006/main" headerRowCount="0" ref="A6:I6" displayName="表_1" name="表_1"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Prompt_Generator-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4:J54" displayName="LayerScores" name="LayerScores" id="3">
  <tableColumns count="10">
    <tableColumn name="Case_ID" id="1"/>
    <tableColumn name="Date" id="2"/>
    <tableColumn name="Region/Scope" id="3"/>
    <tableColumn name="Scenario" id="4"/>
    <tableColumn name="L1" id="5"/>
    <tableColumn name="L2" id="6"/>
    <tableColumn name="L3" id="7"/>
    <tableColumn name="L4" id="8"/>
    <tableColumn name="L5" id="9"/>
    <tableColumn name="Rule notes" id="10"/>
  </tableColumns>
  <tableStyleInfo name="LAYER_SCORES-style" showColumnStripes="0" showFirstColumn="1" showLastColumn="1" showRowStripes="1"/>
</table>
</file>

<file path=xl/tables/table4.xml><?xml version="1.0" encoding="utf-8"?>
<table xmlns="http://schemas.openxmlformats.org/spreadsheetml/2006/main" ref="A4:K54" displayName="BSITable" name="BSITable" id="4">
  <tableColumns count="11">
    <tableColumn name="Case_ID" id="1"/>
    <tableColumn name="Date" id="2"/>
    <tableColumn name="Region/Scope" id="3"/>
    <tableColumn name="Scenario" id="4"/>
    <tableColumn name="L1" id="5"/>
    <tableColumn name="L2" id="6"/>
    <tableColumn name="L3" id="7"/>
    <tableColumn name="L4" id="8"/>
    <tableColumn name="L5" id="9"/>
    <tableColumn name="BSI" id="10"/>
    <tableColumn name="BSI Δ (vs prev)" id="11"/>
  </tableColumns>
  <tableStyleInfo name="BSI_CALC-style" showColumnStripes="0" showFirstColumn="1" showLastColumn="1" showRowStripes="1"/>
</table>
</file>

<file path=xl/tables/table5.xml><?xml version="1.0" encoding="utf-8"?>
<table xmlns="http://schemas.openxmlformats.org/spreadsheetml/2006/main" ref="A5:F55" displayName="StateTable" name="StateTable" id="5">
  <tableColumns count="6">
    <tableColumn name="Case_ID" id="1"/>
    <tableColumn name="BSI" id="2"/>
    <tableColumn name="Min Layer" id="3"/>
    <tableColumn name="BSI Δ" id="4"/>
    <tableColumn name="State (computed)" id="5"/>
    <tableColumn name="Trigger notes" id="6"/>
  </tableColumns>
  <tableStyleInfo name="STATE_MACHINE-style" showColumnStripes="0" showFirstColumn="1" showLastColumn="1" showRowStripes="1"/>
</table>
</file>

<file path=xl/tables/table6.xml><?xml version="1.0" encoding="utf-8"?>
<table xmlns="http://schemas.openxmlformats.org/spreadsheetml/2006/main" ref="A3:E11" displayName="DataDict" name="DataDict" id="6">
  <tableColumns count="5">
    <tableColumn name="Field" id="1"/>
    <tableColumn name="Meaning" id="2"/>
    <tableColumn name="Unit/Scale" id="3"/>
    <tableColumn name="Source (expected)" id="4"/>
    <tableColumn name="Notes" id="5"/>
  </tableColumns>
  <tableStyleInfo name="DATA_DICTION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95.0"/>
    <col customWidth="1" min="2" max="26" width="8.71"/>
  </cols>
  <sheetData>
    <row r="1">
      <c r="A1" s="1" t="s">
        <v>0</v>
      </c>
    </row>
    <row r="2">
      <c r="A2" s="2"/>
    </row>
    <row r="3">
      <c r="A3" s="3" t="s">
        <v>1</v>
      </c>
    </row>
    <row r="4">
      <c r="A4" s="2" t="s">
        <v>2</v>
      </c>
    </row>
    <row r="5">
      <c r="A5" s="2" t="s">
        <v>3</v>
      </c>
    </row>
    <row r="6">
      <c r="A6" s="2" t="s">
        <v>4</v>
      </c>
    </row>
    <row r="7">
      <c r="A7" s="2" t="s">
        <v>5</v>
      </c>
    </row>
    <row r="8">
      <c r="A8" s="2"/>
    </row>
    <row r="9">
      <c r="A9" s="4" t="s">
        <v>6</v>
      </c>
    </row>
    <row r="10">
      <c r="A10" s="4" t="s">
        <v>7</v>
      </c>
    </row>
    <row r="11">
      <c r="A11" s="4" t="s">
        <v>8</v>
      </c>
    </row>
    <row r="12">
      <c r="A12" s="4" t="s">
        <v>9</v>
      </c>
    </row>
    <row r="13">
      <c r="A13" s="4" t="s">
        <v>10</v>
      </c>
    </row>
    <row r="14">
      <c r="A14" s="4" t="s">
        <v>11</v>
      </c>
    </row>
    <row r="15">
      <c r="A15" s="2"/>
    </row>
    <row r="16">
      <c r="A16" s="3" t="s">
        <v>12</v>
      </c>
      <c r="C16" s="5"/>
    </row>
    <row r="17">
      <c r="A17" s="2" t="s">
        <v>13</v>
      </c>
    </row>
    <row r="18">
      <c r="A18" s="2" t="s">
        <v>14</v>
      </c>
      <c r="C18" s="5"/>
    </row>
    <row r="19">
      <c r="A19" s="2" t="s">
        <v>15</v>
      </c>
    </row>
    <row r="20">
      <c r="A20" s="2"/>
    </row>
    <row r="21">
      <c r="A21" s="2"/>
    </row>
    <row r="22" ht="15.75" customHeight="1">
      <c r="A22" s="6" t="s">
        <v>16</v>
      </c>
    </row>
    <row r="23" ht="15.75" customHeight="1">
      <c r="A23" s="6" t="s">
        <v>17</v>
      </c>
    </row>
    <row r="24" ht="15.75" customHeight="1">
      <c r="A24" s="6" t="s">
        <v>18</v>
      </c>
    </row>
    <row r="25" ht="15.75" customHeight="1">
      <c r="A25" s="6" t="s">
        <v>19</v>
      </c>
    </row>
    <row r="26" ht="15.75" customHeight="1">
      <c r="A26" s="6" t="s">
        <v>20</v>
      </c>
    </row>
    <row r="27" ht="15.75" customHeight="1">
      <c r="A27" s="6" t="s">
        <v>17</v>
      </c>
    </row>
    <row r="28" ht="15.75" customHeight="1">
      <c r="A28" s="6" t="s">
        <v>21</v>
      </c>
    </row>
    <row r="29" ht="15.75" customHeight="1">
      <c r="A29" s="6" t="s">
        <v>17</v>
      </c>
    </row>
    <row r="30" ht="15.75" customHeight="1">
      <c r="A30" s="6" t="s">
        <v>22</v>
      </c>
    </row>
    <row r="31" ht="15.75" customHeight="1">
      <c r="A31" s="6" t="s">
        <v>17</v>
      </c>
    </row>
    <row r="32" ht="15.75" customHeight="1">
      <c r="A32" s="6" t="s">
        <v>23</v>
      </c>
    </row>
    <row r="33" ht="15.75" customHeight="1">
      <c r="A33" s="6" t="s">
        <v>17</v>
      </c>
    </row>
    <row r="34" ht="15.75" customHeight="1">
      <c r="A34" s="6" t="s">
        <v>24</v>
      </c>
    </row>
    <row r="35" ht="15.75" customHeight="1">
      <c r="A35" s="2"/>
    </row>
    <row r="36" ht="15.75" customHeight="1">
      <c r="A36" s="2"/>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cols>
    <col customWidth="1" min="1" max="1" width="32.14"/>
    <col customWidth="1" min="2" max="2" width="32.0"/>
    <col customWidth="1" min="3" max="3" width="76.86"/>
    <col customWidth="1" min="5" max="5" width="16.0"/>
    <col customWidth="1" min="6" max="6" width="26.43"/>
    <col customWidth="1" min="7" max="7" width="22.86"/>
    <col customWidth="1" min="8" max="8" width="22.43"/>
  </cols>
  <sheetData>
    <row r="1">
      <c r="A1" s="7" t="s">
        <v>25</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8" t="s">
        <v>26</v>
      </c>
      <c r="B3" s="9" t="s">
        <v>27</v>
      </c>
      <c r="C3" s="9" t="s">
        <v>28</v>
      </c>
      <c r="D3" s="9" t="s">
        <v>29</v>
      </c>
      <c r="E3" s="9" t="s">
        <v>30</v>
      </c>
      <c r="F3" s="9" t="s">
        <v>12</v>
      </c>
      <c r="G3" s="2"/>
      <c r="H3" s="2"/>
      <c r="I3" s="2"/>
      <c r="J3" s="2"/>
      <c r="K3" s="2"/>
      <c r="L3" s="2"/>
      <c r="M3" s="2"/>
      <c r="N3" s="2"/>
      <c r="O3" s="2"/>
      <c r="P3" s="2"/>
      <c r="Q3" s="2"/>
      <c r="R3" s="2"/>
      <c r="S3" s="2"/>
      <c r="T3" s="2"/>
      <c r="U3" s="2"/>
      <c r="V3" s="2"/>
      <c r="W3" s="2"/>
      <c r="X3" s="2"/>
      <c r="Y3" s="2"/>
      <c r="Z3" s="2"/>
    </row>
    <row r="4">
      <c r="A4" s="7" t="s">
        <v>31</v>
      </c>
      <c r="B4" s="2"/>
      <c r="C4" s="2"/>
      <c r="D4" s="2"/>
      <c r="E4" s="2"/>
      <c r="F4" s="2"/>
      <c r="G4" s="2"/>
      <c r="H4" s="2"/>
      <c r="I4" s="2"/>
      <c r="J4" s="2"/>
      <c r="K4" s="2"/>
      <c r="L4" s="2"/>
      <c r="M4" s="2"/>
      <c r="N4" s="2"/>
      <c r="O4" s="2"/>
      <c r="P4" s="2"/>
      <c r="Q4" s="2"/>
      <c r="R4" s="2"/>
      <c r="S4" s="2"/>
      <c r="T4" s="2"/>
      <c r="U4" s="2"/>
      <c r="V4" s="2"/>
      <c r="W4" s="2"/>
      <c r="X4" s="2"/>
      <c r="Y4" s="2"/>
      <c r="Z4" s="2"/>
    </row>
    <row r="5">
      <c r="A5" s="10" t="s">
        <v>32</v>
      </c>
      <c r="B5" s="11" t="s">
        <v>33</v>
      </c>
      <c r="C5" s="11" t="s">
        <v>34</v>
      </c>
      <c r="D5" s="11" t="s">
        <v>35</v>
      </c>
      <c r="E5" s="11" t="s">
        <v>36</v>
      </c>
      <c r="F5" s="11" t="s">
        <v>37</v>
      </c>
      <c r="G5" s="12"/>
      <c r="H5" s="12"/>
      <c r="I5" s="2"/>
      <c r="J5" s="2"/>
      <c r="K5" s="2"/>
      <c r="L5" s="2"/>
      <c r="M5" s="2"/>
      <c r="N5" s="2"/>
      <c r="O5" s="2"/>
      <c r="P5" s="2"/>
      <c r="Q5" s="2"/>
      <c r="R5" s="2"/>
      <c r="S5" s="2"/>
      <c r="T5" s="2"/>
      <c r="U5" s="2"/>
      <c r="V5" s="2"/>
      <c r="W5" s="2"/>
      <c r="X5" s="2"/>
      <c r="Y5" s="2"/>
      <c r="Z5" s="2"/>
    </row>
    <row r="6">
      <c r="A6" s="10" t="s">
        <v>38</v>
      </c>
      <c r="B6" s="11" t="s">
        <v>39</v>
      </c>
      <c r="C6" s="11" t="s">
        <v>40</v>
      </c>
      <c r="D6" s="11" t="s">
        <v>41</v>
      </c>
      <c r="E6" s="11" t="s">
        <v>42</v>
      </c>
      <c r="F6" s="11" t="s">
        <v>43</v>
      </c>
      <c r="G6" s="12"/>
      <c r="H6" s="12"/>
      <c r="I6" s="2"/>
      <c r="J6" s="2"/>
      <c r="K6" s="2"/>
      <c r="L6" s="2"/>
      <c r="M6" s="2"/>
      <c r="N6" s="2"/>
      <c r="O6" s="2"/>
      <c r="P6" s="2"/>
      <c r="Q6" s="2"/>
      <c r="R6" s="2"/>
      <c r="S6" s="2"/>
      <c r="T6" s="2"/>
      <c r="U6" s="2"/>
      <c r="V6" s="2"/>
      <c r="W6" s="2"/>
      <c r="X6" s="2"/>
      <c r="Y6" s="2"/>
      <c r="Z6" s="2"/>
    </row>
    <row r="7">
      <c r="A7" s="13" t="s">
        <v>44</v>
      </c>
      <c r="B7" s="14"/>
      <c r="C7" s="14"/>
      <c r="D7" s="14"/>
      <c r="E7" s="14"/>
      <c r="F7" s="14"/>
      <c r="G7" s="2"/>
      <c r="H7" s="2"/>
      <c r="I7" s="2"/>
      <c r="J7" s="2"/>
      <c r="K7" s="2"/>
      <c r="L7" s="2"/>
      <c r="M7" s="2"/>
      <c r="N7" s="2"/>
      <c r="O7" s="2"/>
      <c r="P7" s="2"/>
      <c r="Q7" s="2"/>
      <c r="R7" s="2"/>
      <c r="S7" s="2"/>
      <c r="T7" s="2"/>
      <c r="U7" s="2"/>
      <c r="V7" s="2"/>
      <c r="W7" s="2"/>
      <c r="X7" s="2"/>
      <c r="Y7" s="2"/>
      <c r="Z7" s="2"/>
    </row>
    <row r="8">
      <c r="A8" s="10" t="s">
        <v>45</v>
      </c>
      <c r="B8" s="11" t="s">
        <v>46</v>
      </c>
      <c r="C8" s="11" t="s">
        <v>47</v>
      </c>
      <c r="D8" s="11" t="s">
        <v>48</v>
      </c>
      <c r="E8" s="11" t="s">
        <v>49</v>
      </c>
      <c r="F8" s="11" t="s">
        <v>50</v>
      </c>
      <c r="G8" s="2"/>
      <c r="H8" s="2"/>
      <c r="I8" s="2"/>
      <c r="J8" s="2"/>
      <c r="K8" s="2"/>
      <c r="L8" s="2"/>
      <c r="M8" s="2"/>
      <c r="N8" s="2"/>
      <c r="O8" s="2"/>
      <c r="P8" s="2"/>
      <c r="Q8" s="2"/>
      <c r="R8" s="2"/>
      <c r="S8" s="2"/>
      <c r="T8" s="2"/>
      <c r="U8" s="2"/>
      <c r="V8" s="2"/>
      <c r="W8" s="2"/>
      <c r="X8" s="2"/>
      <c r="Y8" s="2"/>
      <c r="Z8" s="2"/>
    </row>
    <row r="9">
      <c r="A9" s="10" t="s">
        <v>51</v>
      </c>
      <c r="B9" s="11" t="s">
        <v>52</v>
      </c>
      <c r="C9" s="11" t="s">
        <v>53</v>
      </c>
      <c r="D9" s="11" t="s">
        <v>54</v>
      </c>
      <c r="E9" s="11" t="s">
        <v>55</v>
      </c>
      <c r="F9" s="11" t="s">
        <v>56</v>
      </c>
      <c r="G9" s="2"/>
      <c r="H9" s="2"/>
      <c r="I9" s="2"/>
      <c r="J9" s="2"/>
      <c r="K9" s="2"/>
      <c r="L9" s="2"/>
      <c r="M9" s="2"/>
      <c r="N9" s="2"/>
      <c r="O9" s="2"/>
      <c r="P9" s="2"/>
      <c r="Q9" s="2"/>
      <c r="R9" s="2"/>
      <c r="S9" s="2"/>
      <c r="T9" s="2"/>
      <c r="U9" s="2"/>
      <c r="V9" s="2"/>
      <c r="W9" s="2"/>
      <c r="X9" s="2"/>
      <c r="Y9" s="2"/>
      <c r="Z9" s="2"/>
    </row>
    <row r="10">
      <c r="A10" s="10" t="s">
        <v>57</v>
      </c>
      <c r="B10" s="11" t="s">
        <v>58</v>
      </c>
      <c r="C10" s="11" t="s">
        <v>59</v>
      </c>
      <c r="D10" s="11" t="s">
        <v>60</v>
      </c>
      <c r="E10" s="11" t="s">
        <v>55</v>
      </c>
      <c r="F10" s="11" t="s">
        <v>61</v>
      </c>
      <c r="G10" s="2"/>
      <c r="H10" s="2"/>
      <c r="I10" s="2"/>
      <c r="J10" s="2"/>
      <c r="K10" s="2"/>
      <c r="L10" s="2"/>
      <c r="M10" s="2"/>
      <c r="N10" s="2"/>
      <c r="O10" s="2"/>
      <c r="P10" s="2"/>
      <c r="Q10" s="2"/>
      <c r="R10" s="2"/>
      <c r="S10" s="2"/>
      <c r="T10" s="2"/>
      <c r="U10" s="2"/>
      <c r="V10" s="2"/>
      <c r="W10" s="2"/>
      <c r="X10" s="2"/>
      <c r="Y10" s="2"/>
      <c r="Z10" s="2"/>
    </row>
    <row r="11">
      <c r="A11" s="15" t="s">
        <v>62</v>
      </c>
      <c r="B11" s="14"/>
      <c r="C11" s="14"/>
      <c r="D11" s="14"/>
      <c r="E11" s="14"/>
      <c r="F11" s="14"/>
      <c r="G11" s="2"/>
      <c r="H11" s="2"/>
      <c r="I11" s="2"/>
      <c r="J11" s="2"/>
      <c r="K11" s="2"/>
      <c r="L11" s="2"/>
      <c r="M11" s="2"/>
      <c r="N11" s="2"/>
      <c r="O11" s="2"/>
      <c r="P11" s="2"/>
      <c r="Q11" s="2"/>
      <c r="R11" s="2"/>
      <c r="S11" s="2"/>
      <c r="T11" s="2"/>
      <c r="U11" s="2"/>
      <c r="V11" s="2"/>
      <c r="W11" s="2"/>
      <c r="X11" s="2"/>
      <c r="Y11" s="2"/>
      <c r="Z11" s="2"/>
    </row>
    <row r="12">
      <c r="A12" s="10" t="s">
        <v>63</v>
      </c>
      <c r="B12" s="11" t="s">
        <v>64</v>
      </c>
      <c r="C12" s="11" t="s">
        <v>65</v>
      </c>
      <c r="D12" s="11" t="s">
        <v>66</v>
      </c>
      <c r="E12" s="11" t="s">
        <v>49</v>
      </c>
      <c r="F12" s="11" t="s">
        <v>67</v>
      </c>
      <c r="G12" s="12"/>
      <c r="H12" s="12"/>
      <c r="I12" s="2"/>
      <c r="J12" s="2"/>
      <c r="K12" s="2"/>
      <c r="L12" s="2"/>
      <c r="M12" s="2"/>
      <c r="N12" s="2"/>
      <c r="O12" s="2"/>
      <c r="P12" s="2"/>
      <c r="Q12" s="2"/>
      <c r="R12" s="2"/>
      <c r="S12" s="2"/>
      <c r="T12" s="2"/>
      <c r="U12" s="2"/>
      <c r="V12" s="2"/>
      <c r="W12" s="2"/>
      <c r="X12" s="2"/>
      <c r="Y12" s="2"/>
      <c r="Z12" s="2"/>
    </row>
    <row r="13">
      <c r="A13" s="10" t="s">
        <v>68</v>
      </c>
      <c r="B13" s="11" t="s">
        <v>69</v>
      </c>
      <c r="C13" s="11" t="s">
        <v>70</v>
      </c>
      <c r="D13" s="11" t="s">
        <v>71</v>
      </c>
      <c r="E13" s="11" t="s">
        <v>72</v>
      </c>
      <c r="F13" s="11" t="s">
        <v>73</v>
      </c>
      <c r="G13" s="2"/>
      <c r="H13" s="2"/>
      <c r="I13" s="2"/>
      <c r="J13" s="2"/>
      <c r="K13" s="2"/>
      <c r="L13" s="2"/>
      <c r="M13" s="2"/>
      <c r="N13" s="2"/>
      <c r="O13" s="2"/>
      <c r="P13" s="2"/>
      <c r="Q13" s="2"/>
      <c r="R13" s="2"/>
      <c r="S13" s="2"/>
      <c r="T13" s="2"/>
      <c r="U13" s="2"/>
      <c r="V13" s="2"/>
      <c r="W13" s="2"/>
      <c r="X13" s="2"/>
      <c r="Y13" s="2"/>
      <c r="Z13" s="2"/>
    </row>
    <row r="14">
      <c r="A14" s="15" t="s">
        <v>74</v>
      </c>
      <c r="B14" s="14"/>
      <c r="C14" s="14"/>
      <c r="D14" s="14"/>
      <c r="E14" s="14"/>
      <c r="F14" s="14"/>
      <c r="G14" s="2"/>
      <c r="H14" s="2"/>
      <c r="I14" s="2"/>
      <c r="J14" s="2"/>
      <c r="K14" s="2"/>
      <c r="L14" s="2"/>
      <c r="M14" s="2"/>
      <c r="N14" s="2"/>
      <c r="O14" s="2"/>
      <c r="P14" s="2"/>
      <c r="Q14" s="2"/>
      <c r="R14" s="2"/>
      <c r="S14" s="2"/>
      <c r="T14" s="2"/>
      <c r="U14" s="2"/>
      <c r="V14" s="2"/>
      <c r="W14" s="2"/>
      <c r="X14" s="2"/>
      <c r="Y14" s="2"/>
      <c r="Z14" s="2"/>
    </row>
    <row r="15">
      <c r="A15" s="10" t="s">
        <v>75</v>
      </c>
      <c r="B15" s="11" t="s">
        <v>76</v>
      </c>
      <c r="C15" s="11" t="s">
        <v>77</v>
      </c>
      <c r="D15" s="11" t="s">
        <v>78</v>
      </c>
      <c r="E15" s="11" t="s">
        <v>79</v>
      </c>
      <c r="F15" s="11" t="s">
        <v>80</v>
      </c>
      <c r="G15" s="2"/>
      <c r="H15" s="2"/>
      <c r="I15" s="2"/>
      <c r="J15" s="2"/>
      <c r="K15" s="2"/>
      <c r="L15" s="2"/>
      <c r="M15" s="2"/>
      <c r="N15" s="2"/>
      <c r="O15" s="2"/>
      <c r="P15" s="2"/>
      <c r="Q15" s="2"/>
      <c r="R15" s="2"/>
      <c r="S15" s="2"/>
      <c r="T15" s="2"/>
      <c r="U15" s="2"/>
      <c r="V15" s="2"/>
      <c r="W15" s="2"/>
      <c r="X15" s="2"/>
      <c r="Y15" s="2"/>
      <c r="Z15" s="2"/>
    </row>
    <row r="16">
      <c r="A16" s="10" t="s">
        <v>81</v>
      </c>
      <c r="B16" s="11" t="s">
        <v>82</v>
      </c>
      <c r="C16" s="11" t="s">
        <v>83</v>
      </c>
      <c r="D16" s="11" t="s">
        <v>84</v>
      </c>
      <c r="E16" s="11" t="s">
        <v>85</v>
      </c>
      <c r="F16" s="11" t="s">
        <v>86</v>
      </c>
      <c r="G16" s="2"/>
      <c r="H16" s="2"/>
      <c r="I16" s="2"/>
      <c r="J16" s="2"/>
      <c r="K16" s="2"/>
      <c r="L16" s="2"/>
      <c r="M16" s="2"/>
      <c r="N16" s="2"/>
      <c r="O16" s="2"/>
      <c r="P16" s="2"/>
      <c r="Q16" s="2"/>
      <c r="R16" s="2"/>
      <c r="S16" s="2"/>
      <c r="T16" s="2"/>
      <c r="U16" s="2"/>
      <c r="V16" s="2"/>
      <c r="W16" s="2"/>
      <c r="X16" s="2"/>
      <c r="Y16" s="2"/>
      <c r="Z16" s="2"/>
    </row>
    <row r="17">
      <c r="A17" s="15" t="s">
        <v>87</v>
      </c>
      <c r="B17" s="14"/>
      <c r="C17" s="14"/>
      <c r="D17" s="14"/>
      <c r="E17" s="14"/>
      <c r="F17" s="14"/>
      <c r="G17" s="2"/>
      <c r="H17" s="2"/>
      <c r="I17" s="2"/>
      <c r="J17" s="2"/>
      <c r="K17" s="2"/>
      <c r="L17" s="2"/>
      <c r="M17" s="2"/>
      <c r="N17" s="2"/>
      <c r="O17" s="2"/>
      <c r="P17" s="2"/>
      <c r="Q17" s="2"/>
      <c r="R17" s="2"/>
      <c r="S17" s="2"/>
      <c r="T17" s="2"/>
      <c r="U17" s="2"/>
      <c r="V17" s="2"/>
      <c r="W17" s="2"/>
      <c r="X17" s="2"/>
      <c r="Y17" s="2"/>
      <c r="Z17" s="2"/>
    </row>
    <row r="18">
      <c r="A18" s="10" t="s">
        <v>88</v>
      </c>
      <c r="B18" s="11" t="s">
        <v>89</v>
      </c>
      <c r="C18" s="11" t="s">
        <v>90</v>
      </c>
      <c r="D18" s="11" t="s">
        <v>91</v>
      </c>
      <c r="E18" s="11" t="s">
        <v>92</v>
      </c>
      <c r="F18" s="11" t="s">
        <v>93</v>
      </c>
      <c r="G18" s="2"/>
      <c r="H18" s="2"/>
      <c r="I18" s="2"/>
      <c r="J18" s="2"/>
      <c r="K18" s="2"/>
      <c r="L18" s="2"/>
      <c r="M18" s="2"/>
      <c r="N18" s="2"/>
      <c r="O18" s="2"/>
      <c r="P18" s="2"/>
      <c r="Q18" s="2"/>
      <c r="R18" s="2"/>
      <c r="S18" s="2"/>
      <c r="T18" s="2"/>
      <c r="U18" s="2"/>
      <c r="V18" s="2"/>
      <c r="W18" s="2"/>
      <c r="X18" s="2"/>
      <c r="Y18" s="2"/>
      <c r="Z18" s="2"/>
    </row>
    <row r="19">
      <c r="A19" s="10" t="s">
        <v>94</v>
      </c>
      <c r="B19" s="11" t="s">
        <v>95</v>
      </c>
      <c r="C19" s="11" t="s">
        <v>96</v>
      </c>
      <c r="D19" s="11" t="s">
        <v>97</v>
      </c>
      <c r="E19" s="11" t="s">
        <v>98</v>
      </c>
      <c r="F19" s="11" t="s">
        <v>99</v>
      </c>
      <c r="G19" s="2"/>
      <c r="H19" s="2"/>
      <c r="I19" s="2"/>
      <c r="J19" s="2"/>
      <c r="K19" s="2"/>
      <c r="L19" s="2"/>
      <c r="M19" s="2"/>
      <c r="N19" s="2"/>
      <c r="O19" s="2"/>
      <c r="P19" s="2"/>
      <c r="Q19" s="2"/>
      <c r="R19" s="2"/>
      <c r="S19" s="2"/>
      <c r="T19" s="2"/>
      <c r="U19" s="2"/>
      <c r="V19" s="2"/>
      <c r="W19" s="2"/>
      <c r="X19" s="2"/>
      <c r="Y19" s="2"/>
      <c r="Z19" s="2"/>
    </row>
    <row r="20">
      <c r="A20" s="12"/>
      <c r="B20" s="12"/>
      <c r="C20" s="12"/>
      <c r="D20" s="12"/>
      <c r="E20" s="12"/>
      <c r="F20" s="12"/>
      <c r="G20" s="12"/>
      <c r="H20" s="12"/>
      <c r="I20" s="2"/>
      <c r="J20" s="2"/>
      <c r="K20" s="2"/>
      <c r="L20" s="2"/>
      <c r="M20" s="2"/>
      <c r="N20" s="2"/>
      <c r="O20" s="2"/>
      <c r="P20" s="2"/>
      <c r="Q20" s="2"/>
      <c r="R20" s="2"/>
      <c r="S20" s="2"/>
      <c r="T20" s="2"/>
      <c r="U20" s="2"/>
      <c r="V20" s="2"/>
      <c r="W20" s="2"/>
      <c r="X20" s="2"/>
      <c r="Y20" s="2"/>
      <c r="Z20" s="2"/>
    </row>
    <row r="21">
      <c r="A21" s="8" t="s">
        <v>26</v>
      </c>
      <c r="B21" s="9" t="s">
        <v>27</v>
      </c>
      <c r="C21" s="9" t="s">
        <v>28</v>
      </c>
      <c r="D21" s="9" t="s">
        <v>29</v>
      </c>
      <c r="E21" s="9" t="s">
        <v>30</v>
      </c>
      <c r="F21" s="9" t="s">
        <v>12</v>
      </c>
      <c r="G21" s="9" t="s">
        <v>100</v>
      </c>
      <c r="H21" s="9" t="s">
        <v>101</v>
      </c>
      <c r="I21" s="2"/>
      <c r="J21" s="2"/>
      <c r="K21" s="2"/>
      <c r="L21" s="2"/>
      <c r="M21" s="2"/>
      <c r="N21" s="2"/>
      <c r="O21" s="2"/>
      <c r="P21" s="2"/>
      <c r="Q21" s="2"/>
      <c r="R21" s="2"/>
      <c r="S21" s="2"/>
      <c r="T21" s="2"/>
      <c r="U21" s="2"/>
      <c r="V21" s="2"/>
      <c r="W21" s="2"/>
      <c r="X21" s="2"/>
      <c r="Y21" s="2"/>
      <c r="Z21" s="2"/>
    </row>
    <row r="22">
      <c r="A22" s="10" t="s">
        <v>102</v>
      </c>
      <c r="B22" s="11" t="s">
        <v>103</v>
      </c>
      <c r="C22" s="11" t="s">
        <v>104</v>
      </c>
      <c r="D22" s="11" t="s">
        <v>105</v>
      </c>
      <c r="E22" s="11" t="s">
        <v>98</v>
      </c>
      <c r="F22" s="11" t="s">
        <v>106</v>
      </c>
      <c r="G22" s="11" t="s">
        <v>107</v>
      </c>
      <c r="H22" s="11" t="s">
        <v>108</v>
      </c>
      <c r="I22" s="2"/>
      <c r="J22" s="2"/>
      <c r="K22" s="2"/>
      <c r="L22" s="2"/>
      <c r="M22" s="2"/>
      <c r="N22" s="2"/>
      <c r="O22" s="2"/>
      <c r="P22" s="2"/>
      <c r="Q22" s="2"/>
      <c r="R22" s="2"/>
      <c r="S22" s="2"/>
      <c r="T22" s="2"/>
      <c r="U22" s="2"/>
      <c r="V22" s="2"/>
      <c r="W22" s="2"/>
      <c r="X22" s="2"/>
      <c r="Y22" s="2"/>
      <c r="Z22" s="2"/>
    </row>
    <row r="23">
      <c r="A23" s="10" t="s">
        <v>109</v>
      </c>
      <c r="B23" s="11" t="s">
        <v>110</v>
      </c>
      <c r="C23" s="11" t="s">
        <v>111</v>
      </c>
      <c r="D23" s="11" t="s">
        <v>112</v>
      </c>
      <c r="E23" s="11" t="s">
        <v>113</v>
      </c>
      <c r="F23" s="11" t="s">
        <v>114</v>
      </c>
      <c r="G23" s="11" t="s">
        <v>115</v>
      </c>
      <c r="H23" s="11" t="s">
        <v>116</v>
      </c>
      <c r="I23" s="2"/>
      <c r="J23" s="2"/>
      <c r="K23" s="2"/>
      <c r="L23" s="2"/>
      <c r="M23" s="2"/>
      <c r="N23" s="2"/>
      <c r="O23" s="2"/>
      <c r="P23" s="2"/>
      <c r="Q23" s="2"/>
      <c r="R23" s="2"/>
      <c r="S23" s="2"/>
      <c r="T23" s="2"/>
      <c r="U23" s="2"/>
      <c r="V23" s="2"/>
      <c r="W23" s="2"/>
      <c r="X23" s="2"/>
      <c r="Y23" s="2"/>
      <c r="Z23" s="2"/>
    </row>
    <row r="24">
      <c r="A24" s="10" t="s">
        <v>32</v>
      </c>
      <c r="B24" s="16" t="s">
        <v>117</v>
      </c>
      <c r="C24" s="16" t="s">
        <v>118</v>
      </c>
      <c r="D24" s="16" t="s">
        <v>119</v>
      </c>
      <c r="E24" s="16" t="s">
        <v>98</v>
      </c>
      <c r="F24" s="16" t="s">
        <v>120</v>
      </c>
      <c r="G24" s="11" t="s">
        <v>120</v>
      </c>
      <c r="H24" s="11" t="s">
        <v>121</v>
      </c>
      <c r="I24" s="2"/>
      <c r="J24" s="2"/>
      <c r="K24" s="2"/>
      <c r="L24" s="2"/>
      <c r="M24" s="2"/>
      <c r="N24" s="2"/>
      <c r="O24" s="2"/>
      <c r="P24" s="2"/>
      <c r="Q24" s="2"/>
      <c r="R24" s="2"/>
      <c r="S24" s="2"/>
      <c r="T24" s="2"/>
      <c r="U24" s="2"/>
      <c r="V24" s="2"/>
      <c r="W24" s="2"/>
      <c r="X24" s="2"/>
      <c r="Y24" s="2"/>
      <c r="Z24" s="2"/>
    </row>
    <row r="25">
      <c r="A25" s="10" t="s">
        <v>38</v>
      </c>
      <c r="B25" s="16" t="s">
        <v>122</v>
      </c>
      <c r="C25" s="16" t="s">
        <v>123</v>
      </c>
      <c r="D25" s="16" t="s">
        <v>112</v>
      </c>
      <c r="E25" s="16" t="s">
        <v>122</v>
      </c>
      <c r="F25" s="16" t="s">
        <v>124</v>
      </c>
      <c r="G25" s="11" t="s">
        <v>125</v>
      </c>
      <c r="H25" s="11" t="s">
        <v>126</v>
      </c>
      <c r="I25" s="2"/>
      <c r="J25" s="2"/>
      <c r="K25" s="2"/>
      <c r="L25" s="2"/>
      <c r="M25" s="2"/>
      <c r="N25" s="2"/>
      <c r="O25" s="2"/>
      <c r="P25" s="2"/>
      <c r="Q25" s="2"/>
      <c r="R25" s="2"/>
      <c r="S25" s="2"/>
      <c r="T25" s="2"/>
      <c r="U25" s="2"/>
      <c r="V25" s="2"/>
      <c r="W25" s="2"/>
      <c r="X25" s="2"/>
      <c r="Y25" s="2"/>
      <c r="Z25" s="2"/>
    </row>
    <row r="26">
      <c r="A26" s="10" t="s">
        <v>63</v>
      </c>
      <c r="B26" s="16" t="s">
        <v>127</v>
      </c>
      <c r="C26" s="16" t="s">
        <v>128</v>
      </c>
      <c r="D26" s="16" t="s">
        <v>119</v>
      </c>
      <c r="E26" s="16" t="s">
        <v>113</v>
      </c>
      <c r="F26" s="16" t="s">
        <v>129</v>
      </c>
      <c r="G26" s="16" t="s">
        <v>130</v>
      </c>
      <c r="H26" s="16" t="s">
        <v>131</v>
      </c>
      <c r="I26" s="2"/>
      <c r="J26" s="2"/>
      <c r="K26" s="2"/>
      <c r="L26" s="2"/>
      <c r="M26" s="2"/>
      <c r="N26" s="2"/>
      <c r="O26" s="2"/>
      <c r="P26" s="2"/>
      <c r="Q26" s="2"/>
      <c r="R26" s="2"/>
      <c r="S26" s="2"/>
      <c r="T26" s="2"/>
      <c r="U26" s="2"/>
      <c r="V26" s="2"/>
      <c r="W26" s="2"/>
      <c r="X26" s="2"/>
      <c r="Y26" s="2"/>
      <c r="Z26" s="2"/>
    </row>
    <row r="27">
      <c r="A27" s="10" t="s">
        <v>132</v>
      </c>
      <c r="B27" s="11" t="s">
        <v>133</v>
      </c>
      <c r="C27" s="11" t="s">
        <v>134</v>
      </c>
      <c r="D27" s="11" t="s">
        <v>119</v>
      </c>
      <c r="E27" s="11" t="s">
        <v>135</v>
      </c>
      <c r="F27" s="11" t="s">
        <v>136</v>
      </c>
      <c r="G27" s="11" t="s">
        <v>137</v>
      </c>
      <c r="H27" s="11" t="s">
        <v>138</v>
      </c>
      <c r="I27" s="2"/>
      <c r="J27" s="2"/>
      <c r="K27" s="2"/>
      <c r="L27" s="2"/>
      <c r="M27" s="2"/>
      <c r="N27" s="2"/>
      <c r="O27" s="2"/>
      <c r="P27" s="2"/>
      <c r="Q27" s="2"/>
      <c r="R27" s="2"/>
      <c r="S27" s="2"/>
      <c r="T27" s="2"/>
      <c r="U27" s="2"/>
      <c r="V27" s="2"/>
      <c r="W27" s="2"/>
      <c r="X27" s="2"/>
      <c r="Y27" s="2"/>
      <c r="Z27" s="2"/>
    </row>
    <row r="28">
      <c r="A28" s="10" t="s">
        <v>139</v>
      </c>
      <c r="B28" s="11" t="s">
        <v>140</v>
      </c>
      <c r="C28" s="11" t="s">
        <v>141</v>
      </c>
      <c r="D28" s="11" t="s">
        <v>119</v>
      </c>
      <c r="E28" s="11" t="s">
        <v>142</v>
      </c>
      <c r="F28" s="11" t="s">
        <v>143</v>
      </c>
      <c r="G28" s="11" t="s">
        <v>144</v>
      </c>
      <c r="H28" s="11" t="s">
        <v>145</v>
      </c>
      <c r="I28" s="2"/>
      <c r="J28" s="2"/>
      <c r="K28" s="2"/>
      <c r="L28" s="2"/>
      <c r="M28" s="2"/>
      <c r="N28" s="2"/>
      <c r="O28" s="2"/>
      <c r="P28" s="2"/>
      <c r="Q28" s="2"/>
      <c r="R28" s="2"/>
      <c r="S28" s="2"/>
      <c r="T28" s="2"/>
      <c r="U28" s="2"/>
      <c r="V28" s="2"/>
      <c r="W28" s="2"/>
      <c r="X28" s="2"/>
      <c r="Y28" s="2"/>
      <c r="Z28" s="2"/>
    </row>
    <row r="29">
      <c r="A29" s="10" t="s">
        <v>75</v>
      </c>
      <c r="B29" s="16" t="s">
        <v>146</v>
      </c>
      <c r="C29" s="16" t="s">
        <v>147</v>
      </c>
      <c r="D29" s="16" t="s">
        <v>112</v>
      </c>
      <c r="E29" s="16" t="s">
        <v>146</v>
      </c>
      <c r="F29" s="16" t="s">
        <v>148</v>
      </c>
      <c r="G29" s="11" t="s">
        <v>149</v>
      </c>
      <c r="H29" s="11" t="s">
        <v>150</v>
      </c>
      <c r="I29" s="2"/>
      <c r="J29" s="2"/>
      <c r="K29" s="2"/>
      <c r="L29" s="2"/>
      <c r="M29" s="2"/>
      <c r="N29" s="2"/>
      <c r="O29" s="2"/>
      <c r="P29" s="2"/>
      <c r="Q29" s="2"/>
      <c r="R29" s="2"/>
      <c r="S29" s="2"/>
      <c r="T29" s="2"/>
      <c r="U29" s="2"/>
      <c r="V29" s="2"/>
      <c r="W29" s="2"/>
      <c r="X29" s="2"/>
      <c r="Y29" s="2"/>
      <c r="Z29" s="2"/>
    </row>
    <row r="30">
      <c r="A30" s="10" t="s">
        <v>151</v>
      </c>
      <c r="B30" s="11" t="s">
        <v>152</v>
      </c>
      <c r="C30" s="11" t="s">
        <v>153</v>
      </c>
      <c r="D30" s="11" t="s">
        <v>119</v>
      </c>
      <c r="E30" s="11" t="s">
        <v>135</v>
      </c>
      <c r="F30" s="11" t="s">
        <v>154</v>
      </c>
      <c r="G30" s="11" t="s">
        <v>155</v>
      </c>
      <c r="H30" s="11" t="s">
        <v>156</v>
      </c>
      <c r="I30" s="2"/>
      <c r="J30" s="2"/>
      <c r="K30" s="2"/>
      <c r="L30" s="2"/>
      <c r="M30" s="2"/>
      <c r="N30" s="2"/>
      <c r="O30" s="2"/>
      <c r="P30" s="2"/>
      <c r="Q30" s="2"/>
      <c r="R30" s="2"/>
      <c r="S30" s="2"/>
      <c r="T30" s="2"/>
      <c r="U30" s="2"/>
      <c r="V30" s="2"/>
      <c r="W30" s="2"/>
      <c r="X30" s="2"/>
      <c r="Y30" s="2"/>
      <c r="Z30" s="2"/>
    </row>
    <row r="31">
      <c r="A31" s="17"/>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0"/>
    <col customWidth="1" min="2" max="2" width="12.0"/>
    <col customWidth="1" min="3" max="3" width="14.0"/>
    <col customWidth="1" min="4" max="4" width="26.0"/>
    <col customWidth="1" min="5" max="5" width="18.0"/>
    <col customWidth="1" min="6" max="6" width="20.0"/>
    <col customWidth="1" min="7" max="8" width="22.0"/>
    <col customWidth="1" min="9" max="9" width="20.0"/>
    <col customWidth="1" min="10" max="10" width="24.0"/>
    <col customWidth="1" min="11" max="11" width="16.0"/>
    <col customWidth="1" min="12" max="15" width="10.0"/>
    <col customWidth="1" min="16" max="26" width="8.71"/>
  </cols>
  <sheetData>
    <row r="1">
      <c r="A1" s="18" t="s">
        <v>157</v>
      </c>
    </row>
    <row r="3">
      <c r="A3" s="19" t="s">
        <v>158</v>
      </c>
    </row>
    <row r="5">
      <c r="A5" s="20" t="s">
        <v>159</v>
      </c>
      <c r="B5" s="20" t="s">
        <v>160</v>
      </c>
      <c r="C5" s="20" t="s">
        <v>161</v>
      </c>
      <c r="D5" s="20" t="s">
        <v>162</v>
      </c>
      <c r="E5" s="20" t="s">
        <v>12</v>
      </c>
      <c r="F5" s="20" t="s">
        <v>163</v>
      </c>
      <c r="G5" s="20" t="s">
        <v>164</v>
      </c>
      <c r="H5" s="20" t="s">
        <v>165</v>
      </c>
      <c r="I5" s="20" t="s">
        <v>166</v>
      </c>
      <c r="J5" s="20" t="s">
        <v>167</v>
      </c>
      <c r="K5" s="20" t="s">
        <v>168</v>
      </c>
      <c r="L5" s="20" t="s">
        <v>169</v>
      </c>
      <c r="M5" s="20" t="s">
        <v>170</v>
      </c>
      <c r="N5" s="20" t="s">
        <v>171</v>
      </c>
      <c r="O5" s="20" t="s">
        <v>172</v>
      </c>
    </row>
    <row r="6">
      <c r="A6" s="21" t="s">
        <v>173</v>
      </c>
      <c r="B6" s="22">
        <v>42248.0</v>
      </c>
      <c r="C6" s="21" t="s">
        <v>174</v>
      </c>
      <c r="D6" s="21" t="s">
        <v>175</v>
      </c>
      <c r="E6" s="21" t="s">
        <v>176</v>
      </c>
      <c r="F6" s="21">
        <v>1200.0</v>
      </c>
      <c r="G6" s="21">
        <v>78.0</v>
      </c>
      <c r="H6" s="21">
        <v>55.0</v>
      </c>
      <c r="I6" s="21">
        <v>72.0</v>
      </c>
      <c r="J6" s="21">
        <v>45.0</v>
      </c>
      <c r="K6" s="21"/>
      <c r="L6" s="21"/>
      <c r="M6" s="21"/>
      <c r="N6" s="21"/>
      <c r="O6" s="21"/>
    </row>
    <row r="7">
      <c r="A7" s="21" t="s">
        <v>177</v>
      </c>
      <c r="B7" s="22">
        <v>45200.0</v>
      </c>
      <c r="C7" s="21" t="s">
        <v>174</v>
      </c>
      <c r="D7" s="21" t="s">
        <v>178</v>
      </c>
      <c r="E7" s="21" t="s">
        <v>176</v>
      </c>
      <c r="F7" s="21">
        <v>650.0</v>
      </c>
      <c r="G7" s="21">
        <v>62.0</v>
      </c>
      <c r="H7" s="21">
        <v>80.0</v>
      </c>
      <c r="I7" s="21">
        <v>68.0</v>
      </c>
      <c r="J7" s="21">
        <v>35.0</v>
      </c>
      <c r="K7" s="21"/>
      <c r="L7" s="21"/>
      <c r="M7" s="21"/>
      <c r="N7" s="21"/>
      <c r="O7" s="21"/>
    </row>
    <row r="8">
      <c r="A8" s="21" t="s">
        <v>179</v>
      </c>
      <c r="B8" s="22">
        <v>46357.0</v>
      </c>
      <c r="C8" s="21" t="s">
        <v>180</v>
      </c>
      <c r="D8" s="21" t="s">
        <v>181</v>
      </c>
      <c r="E8" s="21" t="s">
        <v>182</v>
      </c>
      <c r="F8" s="21">
        <v>12.0</v>
      </c>
      <c r="G8" s="21">
        <v>25.0</v>
      </c>
      <c r="H8" s="21">
        <v>15.0</v>
      </c>
      <c r="I8" s="21">
        <v>28.0</v>
      </c>
      <c r="J8" s="21">
        <v>10.0</v>
      </c>
      <c r="K8" s="21"/>
      <c r="L8" s="21"/>
      <c r="M8" s="21"/>
      <c r="N8" s="21"/>
      <c r="O8" s="21"/>
    </row>
    <row r="9">
      <c r="A9" s="21"/>
      <c r="B9" s="21"/>
      <c r="C9" s="21"/>
      <c r="D9" s="21"/>
      <c r="E9" s="21"/>
      <c r="F9" s="21"/>
      <c r="G9" s="21"/>
      <c r="H9" s="21"/>
      <c r="I9" s="21"/>
      <c r="J9" s="21"/>
      <c r="K9" s="21"/>
      <c r="L9" s="21"/>
      <c r="M9" s="21"/>
      <c r="N9" s="21"/>
      <c r="O9" s="21"/>
    </row>
    <row r="10">
      <c r="A10" s="21"/>
      <c r="B10" s="21"/>
      <c r="C10" s="21"/>
      <c r="D10" s="21"/>
      <c r="E10" s="21"/>
      <c r="F10" s="21"/>
      <c r="G10" s="21"/>
      <c r="H10" s="21"/>
      <c r="I10" s="21"/>
      <c r="J10" s="21"/>
      <c r="K10" s="21"/>
      <c r="L10" s="21"/>
      <c r="M10" s="21"/>
      <c r="N10" s="21"/>
      <c r="O10" s="21"/>
    </row>
    <row r="11">
      <c r="A11" s="21"/>
      <c r="B11" s="21"/>
      <c r="C11" s="21"/>
      <c r="D11" s="21"/>
      <c r="E11" s="21"/>
      <c r="F11" s="21"/>
      <c r="G11" s="21"/>
      <c r="H11" s="21"/>
      <c r="I11" s="21"/>
      <c r="J11" s="21"/>
      <c r="K11" s="21"/>
      <c r="L11" s="21"/>
      <c r="M11" s="21"/>
      <c r="N11" s="21"/>
      <c r="O11" s="21"/>
    </row>
    <row r="12">
      <c r="A12" s="21"/>
      <c r="B12" s="21"/>
      <c r="C12" s="21"/>
      <c r="D12" s="21"/>
      <c r="E12" s="21"/>
      <c r="F12" s="21"/>
      <c r="G12" s="21"/>
      <c r="H12" s="21"/>
      <c r="I12" s="21"/>
      <c r="J12" s="21"/>
      <c r="K12" s="21"/>
      <c r="L12" s="21"/>
      <c r="M12" s="21"/>
      <c r="N12" s="21"/>
      <c r="O12" s="21"/>
    </row>
    <row r="13">
      <c r="A13" s="21"/>
      <c r="B13" s="21"/>
      <c r="C13" s="21"/>
      <c r="D13" s="21"/>
      <c r="E13" s="21"/>
      <c r="F13" s="21"/>
      <c r="G13" s="21"/>
      <c r="H13" s="21"/>
      <c r="I13" s="21"/>
      <c r="J13" s="21"/>
      <c r="K13" s="21"/>
      <c r="L13" s="21"/>
      <c r="M13" s="21"/>
      <c r="N13" s="21"/>
      <c r="O13" s="21"/>
    </row>
    <row r="14">
      <c r="A14" s="21"/>
      <c r="B14" s="21"/>
      <c r="C14" s="21"/>
      <c r="D14" s="21"/>
      <c r="E14" s="21"/>
      <c r="F14" s="21"/>
      <c r="G14" s="21"/>
      <c r="H14" s="21"/>
      <c r="I14" s="21"/>
      <c r="J14" s="21"/>
      <c r="K14" s="21"/>
      <c r="L14" s="21"/>
      <c r="M14" s="21"/>
      <c r="N14" s="21"/>
      <c r="O14" s="21"/>
    </row>
    <row r="15">
      <c r="A15" s="21"/>
      <c r="B15" s="21"/>
      <c r="C15" s="21"/>
      <c r="D15" s="21"/>
      <c r="E15" s="21"/>
      <c r="F15" s="21"/>
      <c r="G15" s="21"/>
      <c r="H15" s="21"/>
      <c r="I15" s="21"/>
      <c r="J15" s="21"/>
      <c r="K15" s="21"/>
      <c r="L15" s="21"/>
      <c r="M15" s="21"/>
      <c r="N15" s="21"/>
      <c r="O15" s="21"/>
    </row>
    <row r="16">
      <c r="A16" s="21"/>
      <c r="B16" s="21"/>
      <c r="C16" s="21"/>
      <c r="D16" s="21"/>
      <c r="E16" s="21"/>
      <c r="F16" s="21"/>
      <c r="G16" s="21"/>
      <c r="H16" s="21"/>
      <c r="I16" s="21"/>
      <c r="J16" s="21"/>
      <c r="K16" s="21"/>
      <c r="L16" s="21"/>
      <c r="M16" s="21"/>
      <c r="N16" s="21"/>
      <c r="O16" s="21"/>
    </row>
    <row r="17">
      <c r="A17" s="21"/>
      <c r="B17" s="21"/>
      <c r="C17" s="21"/>
      <c r="D17" s="21"/>
      <c r="E17" s="21"/>
      <c r="F17" s="21"/>
      <c r="G17" s="21"/>
      <c r="H17" s="21"/>
      <c r="I17" s="21"/>
      <c r="J17" s="21"/>
      <c r="K17" s="21"/>
      <c r="L17" s="21"/>
      <c r="M17" s="21"/>
      <c r="N17" s="21"/>
      <c r="O17" s="21"/>
    </row>
    <row r="18">
      <c r="A18" s="21"/>
      <c r="B18" s="21"/>
      <c r="C18" s="21"/>
      <c r="D18" s="21"/>
      <c r="E18" s="21"/>
      <c r="F18" s="21"/>
      <c r="G18" s="21"/>
      <c r="H18" s="21"/>
      <c r="I18" s="21"/>
      <c r="J18" s="21"/>
      <c r="K18" s="21"/>
      <c r="L18" s="21"/>
      <c r="M18" s="21"/>
      <c r="N18" s="21"/>
      <c r="O18" s="21"/>
    </row>
    <row r="19">
      <c r="A19" s="21"/>
      <c r="B19" s="21"/>
      <c r="C19" s="21"/>
      <c r="D19" s="21"/>
      <c r="E19" s="21"/>
      <c r="F19" s="21"/>
      <c r="G19" s="21"/>
      <c r="H19" s="21"/>
      <c r="I19" s="21"/>
      <c r="J19" s="21"/>
      <c r="K19" s="21"/>
      <c r="L19" s="21"/>
      <c r="M19" s="21"/>
      <c r="N19" s="21"/>
      <c r="O19" s="21"/>
    </row>
    <row r="20">
      <c r="A20" s="21"/>
      <c r="B20" s="21"/>
      <c r="C20" s="21"/>
      <c r="D20" s="21"/>
      <c r="E20" s="21"/>
      <c r="F20" s="21"/>
      <c r="G20" s="21"/>
      <c r="H20" s="21"/>
      <c r="I20" s="21"/>
      <c r="J20" s="21"/>
      <c r="K20" s="21"/>
      <c r="L20" s="21"/>
      <c r="M20" s="21"/>
      <c r="N20" s="21"/>
      <c r="O20" s="21"/>
    </row>
    <row r="21" ht="15.75" customHeight="1">
      <c r="A21" s="21"/>
      <c r="B21" s="21"/>
      <c r="C21" s="21"/>
      <c r="D21" s="21"/>
      <c r="E21" s="21"/>
      <c r="F21" s="21"/>
      <c r="G21" s="21"/>
      <c r="H21" s="21"/>
      <c r="I21" s="21"/>
      <c r="J21" s="21"/>
      <c r="K21" s="21"/>
      <c r="L21" s="21"/>
      <c r="M21" s="21"/>
      <c r="N21" s="21"/>
      <c r="O21" s="21"/>
    </row>
    <row r="22" ht="15.75" customHeight="1">
      <c r="A22" s="21"/>
      <c r="B22" s="21"/>
      <c r="C22" s="21"/>
      <c r="D22" s="21"/>
      <c r="E22" s="21"/>
      <c r="F22" s="21"/>
      <c r="G22" s="21"/>
      <c r="H22" s="21"/>
      <c r="I22" s="21"/>
      <c r="J22" s="21"/>
      <c r="K22" s="21"/>
      <c r="L22" s="21"/>
      <c r="M22" s="21"/>
      <c r="N22" s="21"/>
      <c r="O22" s="21"/>
    </row>
    <row r="23" ht="15.75" customHeight="1">
      <c r="A23" s="21"/>
      <c r="B23" s="21"/>
      <c r="C23" s="21"/>
      <c r="D23" s="21"/>
      <c r="E23" s="21"/>
      <c r="F23" s="21"/>
      <c r="G23" s="21"/>
      <c r="H23" s="21"/>
      <c r="I23" s="21"/>
      <c r="J23" s="21"/>
      <c r="K23" s="21"/>
      <c r="L23" s="21"/>
      <c r="M23" s="21"/>
      <c r="N23" s="21"/>
      <c r="O23" s="21"/>
    </row>
    <row r="24" ht="15.75" customHeight="1">
      <c r="A24" s="21"/>
      <c r="B24" s="21"/>
      <c r="C24" s="21"/>
      <c r="D24" s="21"/>
      <c r="E24" s="21"/>
      <c r="F24" s="21"/>
      <c r="G24" s="21"/>
      <c r="H24" s="21"/>
      <c r="I24" s="21"/>
      <c r="J24" s="21"/>
      <c r="K24" s="21"/>
      <c r="L24" s="21"/>
      <c r="M24" s="21"/>
      <c r="N24" s="21"/>
      <c r="O24" s="21"/>
    </row>
    <row r="25" ht="15.75" customHeight="1">
      <c r="A25" s="21"/>
      <c r="B25" s="21"/>
      <c r="C25" s="21"/>
      <c r="D25" s="21"/>
      <c r="E25" s="21"/>
      <c r="F25" s="21"/>
      <c r="G25" s="21"/>
      <c r="H25" s="21"/>
      <c r="I25" s="21"/>
      <c r="J25" s="21"/>
      <c r="K25" s="21"/>
      <c r="L25" s="21"/>
      <c r="M25" s="21"/>
      <c r="N25" s="21"/>
      <c r="O25" s="21"/>
    </row>
    <row r="26" ht="15.75" customHeight="1">
      <c r="A26" s="21"/>
      <c r="B26" s="21"/>
      <c r="C26" s="21"/>
      <c r="D26" s="21"/>
      <c r="E26" s="21"/>
      <c r="F26" s="21"/>
      <c r="G26" s="21"/>
      <c r="H26" s="21"/>
      <c r="I26" s="21"/>
      <c r="J26" s="21"/>
      <c r="K26" s="21"/>
      <c r="L26" s="21"/>
      <c r="M26" s="21"/>
      <c r="N26" s="21"/>
      <c r="O26" s="21"/>
    </row>
    <row r="27" ht="15.75" customHeight="1">
      <c r="A27" s="21"/>
      <c r="B27" s="21"/>
      <c r="C27" s="21"/>
      <c r="D27" s="21"/>
      <c r="E27" s="21"/>
      <c r="F27" s="21"/>
      <c r="G27" s="21"/>
      <c r="H27" s="21"/>
      <c r="I27" s="21"/>
      <c r="J27" s="21"/>
      <c r="K27" s="21"/>
      <c r="L27" s="21"/>
      <c r="M27" s="21"/>
      <c r="N27" s="21"/>
      <c r="O27" s="21"/>
    </row>
    <row r="28" ht="15.75" customHeight="1">
      <c r="A28" s="21"/>
      <c r="B28" s="21"/>
      <c r="C28" s="21"/>
      <c r="D28" s="21"/>
      <c r="E28" s="21"/>
      <c r="F28" s="21"/>
      <c r="G28" s="21"/>
      <c r="H28" s="21"/>
      <c r="I28" s="21"/>
      <c r="J28" s="21"/>
      <c r="K28" s="21"/>
      <c r="L28" s="21"/>
      <c r="M28" s="21"/>
      <c r="N28" s="21"/>
      <c r="O28" s="21"/>
    </row>
    <row r="29" ht="15.75" customHeight="1">
      <c r="A29" s="21"/>
      <c r="B29" s="21"/>
      <c r="C29" s="21"/>
      <c r="D29" s="21"/>
      <c r="E29" s="21"/>
      <c r="F29" s="21"/>
      <c r="G29" s="21"/>
      <c r="H29" s="21"/>
      <c r="I29" s="21"/>
      <c r="J29" s="21"/>
      <c r="K29" s="21"/>
      <c r="L29" s="21"/>
      <c r="M29" s="21"/>
      <c r="N29" s="21"/>
      <c r="O29" s="21"/>
    </row>
    <row r="30" ht="15.75" customHeight="1">
      <c r="A30" s="21"/>
      <c r="B30" s="21"/>
      <c r="C30" s="21"/>
      <c r="D30" s="21"/>
      <c r="E30" s="21"/>
      <c r="F30" s="21"/>
      <c r="G30" s="21"/>
      <c r="H30" s="21"/>
      <c r="I30" s="21"/>
      <c r="J30" s="21"/>
      <c r="K30" s="21"/>
      <c r="L30" s="21"/>
      <c r="M30" s="21"/>
      <c r="N30" s="21"/>
      <c r="O30" s="21"/>
    </row>
    <row r="31" ht="15.75" customHeight="1">
      <c r="A31" s="21"/>
      <c r="B31" s="21"/>
      <c r="C31" s="21"/>
      <c r="D31" s="21"/>
      <c r="E31" s="21"/>
      <c r="F31" s="21"/>
      <c r="G31" s="21"/>
      <c r="H31" s="21"/>
      <c r="I31" s="21"/>
      <c r="J31" s="21"/>
      <c r="K31" s="21"/>
      <c r="L31" s="21"/>
      <c r="M31" s="21"/>
      <c r="N31" s="21"/>
      <c r="O31" s="21"/>
    </row>
    <row r="32" ht="15.75" customHeight="1">
      <c r="A32" s="21"/>
      <c r="B32" s="21"/>
      <c r="C32" s="21"/>
      <c r="D32" s="21"/>
      <c r="E32" s="21"/>
      <c r="F32" s="21"/>
      <c r="G32" s="21"/>
      <c r="H32" s="21"/>
      <c r="I32" s="21"/>
      <c r="J32" s="21"/>
      <c r="K32" s="21"/>
      <c r="L32" s="21"/>
      <c r="M32" s="21"/>
      <c r="N32" s="21"/>
      <c r="O32" s="21"/>
    </row>
    <row r="33" ht="15.75" customHeight="1">
      <c r="A33" s="21"/>
      <c r="B33" s="21"/>
      <c r="C33" s="21"/>
      <c r="D33" s="21"/>
      <c r="E33" s="21"/>
      <c r="F33" s="21"/>
      <c r="G33" s="21"/>
      <c r="H33" s="21"/>
      <c r="I33" s="21"/>
      <c r="J33" s="21"/>
      <c r="K33" s="21"/>
      <c r="L33" s="21"/>
      <c r="M33" s="21"/>
      <c r="N33" s="21"/>
      <c r="O33" s="21"/>
    </row>
    <row r="34" ht="15.75" customHeight="1">
      <c r="A34" s="21"/>
      <c r="B34" s="21"/>
      <c r="C34" s="21"/>
      <c r="D34" s="21"/>
      <c r="E34" s="21"/>
      <c r="F34" s="21"/>
      <c r="G34" s="21"/>
      <c r="H34" s="21"/>
      <c r="I34" s="21"/>
      <c r="J34" s="21"/>
      <c r="K34" s="21"/>
      <c r="L34" s="21"/>
      <c r="M34" s="21"/>
      <c r="N34" s="21"/>
      <c r="O34" s="21"/>
    </row>
    <row r="35" ht="15.75" customHeight="1">
      <c r="A35" s="21"/>
      <c r="B35" s="21"/>
      <c r="C35" s="21"/>
      <c r="D35" s="21"/>
      <c r="E35" s="21"/>
      <c r="F35" s="21"/>
      <c r="G35" s="21"/>
      <c r="H35" s="21"/>
      <c r="I35" s="21"/>
      <c r="J35" s="21"/>
      <c r="K35" s="21"/>
      <c r="L35" s="21"/>
      <c r="M35" s="21"/>
      <c r="N35" s="21"/>
      <c r="O35" s="21"/>
    </row>
    <row r="36" ht="15.75" customHeight="1">
      <c r="A36" s="21"/>
      <c r="B36" s="21"/>
      <c r="C36" s="21"/>
      <c r="D36" s="21"/>
      <c r="E36" s="21"/>
      <c r="F36" s="21"/>
      <c r="G36" s="21"/>
      <c r="H36" s="21"/>
      <c r="I36" s="21"/>
      <c r="J36" s="21"/>
      <c r="K36" s="21"/>
      <c r="L36" s="21"/>
      <c r="M36" s="21"/>
      <c r="N36" s="21"/>
      <c r="O36" s="21"/>
    </row>
    <row r="37" ht="15.75" customHeight="1">
      <c r="A37" s="21"/>
      <c r="B37" s="21"/>
      <c r="C37" s="21"/>
      <c r="D37" s="21"/>
      <c r="E37" s="21"/>
      <c r="F37" s="21"/>
      <c r="G37" s="21"/>
      <c r="H37" s="21"/>
      <c r="I37" s="21"/>
      <c r="J37" s="21"/>
      <c r="K37" s="21"/>
      <c r="L37" s="21"/>
      <c r="M37" s="21"/>
      <c r="N37" s="21"/>
      <c r="O37" s="21"/>
    </row>
    <row r="38" ht="15.75" customHeight="1">
      <c r="A38" s="21"/>
      <c r="B38" s="21"/>
      <c r="C38" s="21"/>
      <c r="D38" s="21"/>
      <c r="E38" s="21"/>
      <c r="F38" s="21"/>
      <c r="G38" s="21"/>
      <c r="H38" s="21"/>
      <c r="I38" s="21"/>
      <c r="J38" s="21"/>
      <c r="K38" s="21"/>
      <c r="L38" s="21"/>
      <c r="M38" s="21"/>
      <c r="N38" s="21"/>
      <c r="O38" s="21"/>
    </row>
    <row r="39" ht="15.75" customHeight="1">
      <c r="A39" s="21"/>
      <c r="B39" s="21"/>
      <c r="C39" s="21"/>
      <c r="D39" s="21"/>
      <c r="E39" s="21"/>
      <c r="F39" s="21"/>
      <c r="G39" s="21"/>
      <c r="H39" s="21"/>
      <c r="I39" s="21"/>
      <c r="J39" s="21"/>
      <c r="K39" s="21"/>
      <c r="L39" s="21"/>
      <c r="M39" s="21"/>
      <c r="N39" s="21"/>
      <c r="O39" s="21"/>
    </row>
    <row r="40" ht="15.75" customHeight="1">
      <c r="A40" s="21"/>
      <c r="B40" s="21"/>
      <c r="C40" s="21"/>
      <c r="D40" s="21"/>
      <c r="E40" s="21"/>
      <c r="F40" s="21"/>
      <c r="G40" s="21"/>
      <c r="H40" s="21"/>
      <c r="I40" s="21"/>
      <c r="J40" s="21"/>
      <c r="K40" s="21"/>
      <c r="L40" s="21"/>
      <c r="M40" s="21"/>
      <c r="N40" s="21"/>
      <c r="O40" s="21"/>
    </row>
    <row r="41" ht="15.75" customHeight="1">
      <c r="A41" s="21"/>
      <c r="B41" s="21"/>
      <c r="C41" s="21"/>
      <c r="D41" s="21"/>
      <c r="E41" s="21"/>
      <c r="F41" s="21"/>
      <c r="G41" s="21"/>
      <c r="H41" s="21"/>
      <c r="I41" s="21"/>
      <c r="J41" s="21"/>
      <c r="K41" s="21"/>
      <c r="L41" s="21"/>
      <c r="M41" s="21"/>
      <c r="N41" s="21"/>
      <c r="O41" s="21"/>
    </row>
    <row r="42" ht="15.75" customHeight="1">
      <c r="A42" s="21"/>
      <c r="B42" s="21"/>
      <c r="C42" s="21"/>
      <c r="D42" s="21"/>
      <c r="E42" s="21"/>
      <c r="F42" s="21"/>
      <c r="G42" s="21"/>
      <c r="H42" s="21"/>
      <c r="I42" s="21"/>
      <c r="J42" s="21"/>
      <c r="K42" s="21"/>
      <c r="L42" s="21"/>
      <c r="M42" s="21"/>
      <c r="N42" s="21"/>
      <c r="O42" s="21"/>
    </row>
    <row r="43" ht="15.75" customHeight="1">
      <c r="A43" s="21"/>
      <c r="B43" s="21"/>
      <c r="C43" s="21"/>
      <c r="D43" s="21"/>
      <c r="E43" s="21"/>
      <c r="F43" s="21"/>
      <c r="G43" s="21"/>
      <c r="H43" s="21"/>
      <c r="I43" s="21"/>
      <c r="J43" s="21"/>
      <c r="K43" s="21"/>
      <c r="L43" s="21"/>
      <c r="M43" s="21"/>
      <c r="N43" s="21"/>
      <c r="O43" s="21"/>
    </row>
    <row r="44" ht="15.75" customHeight="1">
      <c r="A44" s="21"/>
      <c r="B44" s="21"/>
      <c r="C44" s="21"/>
      <c r="D44" s="21"/>
      <c r="E44" s="21"/>
      <c r="F44" s="21"/>
      <c r="G44" s="21"/>
      <c r="H44" s="21"/>
      <c r="I44" s="21"/>
      <c r="J44" s="21"/>
      <c r="K44" s="21"/>
      <c r="L44" s="21"/>
      <c r="M44" s="21"/>
      <c r="N44" s="21"/>
      <c r="O44" s="21"/>
    </row>
    <row r="45" ht="15.75" customHeight="1">
      <c r="A45" s="21"/>
      <c r="B45" s="21"/>
      <c r="C45" s="21"/>
      <c r="D45" s="21"/>
      <c r="E45" s="21"/>
      <c r="F45" s="21"/>
      <c r="G45" s="21"/>
      <c r="H45" s="21"/>
      <c r="I45" s="21"/>
      <c r="J45" s="21"/>
      <c r="K45" s="21"/>
      <c r="L45" s="21"/>
      <c r="M45" s="21"/>
      <c r="N45" s="21"/>
      <c r="O45" s="21"/>
    </row>
    <row r="46" ht="15.75" customHeight="1">
      <c r="A46" s="21"/>
      <c r="B46" s="21"/>
      <c r="C46" s="21"/>
      <c r="D46" s="21"/>
      <c r="E46" s="21"/>
      <c r="F46" s="21"/>
      <c r="G46" s="21"/>
      <c r="H46" s="21"/>
      <c r="I46" s="21"/>
      <c r="J46" s="21"/>
      <c r="K46" s="21"/>
      <c r="L46" s="21"/>
      <c r="M46" s="21"/>
      <c r="N46" s="21"/>
      <c r="O46" s="21"/>
    </row>
    <row r="47" ht="15.75" customHeight="1">
      <c r="A47" s="21"/>
      <c r="B47" s="21"/>
      <c r="C47" s="21"/>
      <c r="D47" s="21"/>
      <c r="E47" s="21"/>
      <c r="F47" s="21"/>
      <c r="G47" s="21"/>
      <c r="H47" s="21"/>
      <c r="I47" s="21"/>
      <c r="J47" s="21"/>
      <c r="K47" s="21"/>
      <c r="L47" s="21"/>
      <c r="M47" s="21"/>
      <c r="N47" s="21"/>
      <c r="O47" s="21"/>
    </row>
    <row r="48" ht="15.75" customHeight="1">
      <c r="A48" s="21"/>
      <c r="B48" s="21"/>
      <c r="C48" s="21"/>
      <c r="D48" s="21"/>
      <c r="E48" s="21"/>
      <c r="F48" s="21"/>
      <c r="G48" s="21"/>
      <c r="H48" s="21"/>
      <c r="I48" s="21"/>
      <c r="J48" s="21"/>
      <c r="K48" s="21"/>
      <c r="L48" s="21"/>
      <c r="M48" s="21"/>
      <c r="N48" s="21"/>
      <c r="O48" s="21"/>
    </row>
    <row r="49" ht="15.75" customHeight="1">
      <c r="A49" s="21"/>
      <c r="B49" s="21"/>
      <c r="C49" s="21"/>
      <c r="D49" s="21"/>
      <c r="E49" s="21"/>
      <c r="F49" s="21"/>
      <c r="G49" s="21"/>
      <c r="H49" s="21"/>
      <c r="I49" s="21"/>
      <c r="J49" s="21"/>
      <c r="K49" s="21"/>
      <c r="L49" s="21"/>
      <c r="M49" s="21"/>
      <c r="N49" s="21"/>
      <c r="O49" s="21"/>
    </row>
    <row r="50" ht="15.75" customHeight="1">
      <c r="A50" s="21"/>
      <c r="B50" s="21"/>
      <c r="C50" s="21"/>
      <c r="D50" s="21"/>
      <c r="E50" s="21"/>
      <c r="F50" s="21"/>
      <c r="G50" s="21"/>
      <c r="H50" s="21"/>
      <c r="I50" s="21"/>
      <c r="J50" s="21"/>
      <c r="K50" s="21"/>
      <c r="L50" s="21"/>
      <c r="M50" s="21"/>
      <c r="N50" s="21"/>
      <c r="O50" s="21"/>
    </row>
    <row r="51" ht="15.75" customHeight="1">
      <c r="A51" s="21"/>
      <c r="B51" s="21"/>
      <c r="C51" s="21"/>
      <c r="D51" s="21"/>
      <c r="E51" s="21"/>
      <c r="F51" s="21"/>
      <c r="G51" s="21"/>
      <c r="H51" s="21"/>
      <c r="I51" s="21"/>
      <c r="J51" s="21"/>
      <c r="K51" s="21"/>
      <c r="L51" s="21"/>
      <c r="M51" s="21"/>
      <c r="N51" s="21"/>
      <c r="O51" s="21"/>
    </row>
    <row r="52" ht="15.75" customHeight="1">
      <c r="A52" s="21"/>
      <c r="B52" s="21"/>
      <c r="C52" s="21"/>
      <c r="D52" s="21"/>
      <c r="E52" s="21"/>
      <c r="F52" s="21"/>
      <c r="G52" s="21"/>
      <c r="H52" s="21"/>
      <c r="I52" s="21"/>
      <c r="J52" s="21"/>
      <c r="K52" s="21"/>
      <c r="L52" s="21"/>
      <c r="M52" s="21"/>
      <c r="N52" s="21"/>
      <c r="O52" s="21"/>
    </row>
    <row r="53" ht="15.75" customHeight="1">
      <c r="A53" s="21"/>
      <c r="B53" s="21"/>
      <c r="C53" s="21"/>
      <c r="D53" s="21"/>
      <c r="E53" s="21"/>
      <c r="F53" s="21"/>
      <c r="G53" s="21"/>
      <c r="H53" s="21"/>
      <c r="I53" s="21"/>
      <c r="J53" s="21"/>
      <c r="K53" s="21"/>
      <c r="L53" s="21"/>
      <c r="M53" s="21"/>
      <c r="N53" s="21"/>
      <c r="O53" s="21"/>
    </row>
    <row r="54" ht="15.75" customHeight="1">
      <c r="A54" s="21"/>
      <c r="B54" s="21"/>
      <c r="C54" s="21"/>
      <c r="D54" s="21"/>
      <c r="E54" s="21"/>
      <c r="F54" s="21"/>
      <c r="G54" s="21"/>
      <c r="H54" s="21"/>
      <c r="I54" s="21"/>
      <c r="J54" s="21"/>
      <c r="K54" s="21"/>
      <c r="L54" s="21"/>
      <c r="M54" s="21"/>
      <c r="N54" s="21"/>
      <c r="O54" s="21"/>
    </row>
    <row r="55" ht="15.75" customHeight="1">
      <c r="A55" s="21"/>
      <c r="B55" s="21"/>
      <c r="C55" s="21"/>
      <c r="D55" s="21"/>
      <c r="E55" s="21"/>
      <c r="F55" s="21"/>
      <c r="G55" s="21"/>
      <c r="H55" s="21"/>
      <c r="I55" s="21"/>
      <c r="J55" s="21"/>
      <c r="K55" s="21"/>
      <c r="L55" s="21"/>
      <c r="M55" s="21"/>
      <c r="N55" s="21"/>
      <c r="O55" s="21"/>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6697424-43E3-476A-A0C6-8930FCF08704}" filter="1" showAutoFilter="1">
      <autoFilter ref="$A$5:$O$55"/>
    </customSheetView>
  </customSheetView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3" max="3" width="20.86"/>
    <col customWidth="1" min="4" max="4" width="21.71"/>
    <col customWidth="1" min="5" max="5" width="40.29"/>
    <col customWidth="1" min="6" max="6" width="21.0"/>
    <col customWidth="1" min="7" max="7" width="19.86"/>
    <col customWidth="1" min="8" max="8" width="19.57"/>
    <col customWidth="1" min="9" max="9" width="27.43"/>
    <col customWidth="1" min="11" max="11" width="8.14"/>
    <col customWidth="1" min="12" max="18" width="10.43"/>
  </cols>
  <sheetData>
    <row r="1">
      <c r="A1" s="23" t="s">
        <v>183</v>
      </c>
      <c r="B1" s="2"/>
      <c r="C1" s="2"/>
      <c r="D1" s="2"/>
      <c r="E1" s="2"/>
      <c r="F1" s="2"/>
      <c r="G1" s="2"/>
      <c r="H1" s="2"/>
      <c r="I1" s="2"/>
      <c r="J1" s="2"/>
      <c r="K1" s="2"/>
      <c r="L1" s="2"/>
    </row>
    <row r="2">
      <c r="A2" s="24" t="s">
        <v>184</v>
      </c>
      <c r="B2" s="6"/>
      <c r="C2" s="6"/>
      <c r="D2" s="6"/>
      <c r="E2" s="6"/>
      <c r="F2" s="6"/>
      <c r="G2" s="6"/>
      <c r="H2" s="6"/>
      <c r="I2" s="6"/>
      <c r="J2" s="6"/>
      <c r="K2" s="6"/>
      <c r="L2" s="6"/>
      <c r="M2" s="25"/>
      <c r="N2" s="25"/>
      <c r="O2" s="25"/>
      <c r="P2" s="25"/>
      <c r="Q2" s="25"/>
      <c r="R2" s="25"/>
      <c r="S2" s="25"/>
      <c r="T2" s="25"/>
      <c r="U2" s="25"/>
      <c r="V2" s="25"/>
      <c r="W2" s="25"/>
      <c r="X2" s="25"/>
      <c r="Y2" s="25"/>
      <c r="Z2" s="25"/>
    </row>
    <row r="3">
      <c r="A3" s="6"/>
      <c r="B3" s="6"/>
      <c r="C3" s="6"/>
      <c r="D3" s="6"/>
      <c r="E3" s="6"/>
      <c r="F3" s="6"/>
      <c r="G3" s="6"/>
      <c r="H3" s="6"/>
      <c r="I3" s="6"/>
      <c r="J3" s="6"/>
      <c r="K3" s="6"/>
      <c r="L3" s="6"/>
      <c r="M3" s="25"/>
      <c r="N3" s="25"/>
      <c r="O3" s="25"/>
      <c r="P3" s="25"/>
      <c r="Q3" s="25"/>
      <c r="R3" s="25"/>
      <c r="S3" s="25"/>
      <c r="T3" s="25"/>
      <c r="U3" s="25"/>
      <c r="V3" s="25"/>
      <c r="W3" s="25"/>
      <c r="X3" s="25"/>
      <c r="Y3" s="25"/>
      <c r="Z3" s="25"/>
    </row>
    <row r="4">
      <c r="A4" s="6" t="s">
        <v>185</v>
      </c>
      <c r="B4" s="6"/>
      <c r="C4" s="6"/>
      <c r="D4" s="6"/>
      <c r="E4" s="6"/>
      <c r="F4" s="6"/>
      <c r="G4" s="6"/>
      <c r="H4" s="6"/>
      <c r="I4" s="6"/>
      <c r="J4" s="6"/>
      <c r="K4" s="6"/>
      <c r="L4" s="6" t="s">
        <v>186</v>
      </c>
      <c r="M4" s="25"/>
      <c r="N4" s="25"/>
      <c r="O4" s="25"/>
      <c r="P4" s="25"/>
      <c r="Q4" s="25"/>
      <c r="R4" s="25"/>
      <c r="S4" s="25"/>
      <c r="T4" s="25"/>
      <c r="U4" s="25"/>
      <c r="V4" s="25"/>
      <c r="W4" s="25"/>
      <c r="X4" s="25"/>
      <c r="Y4" s="25"/>
      <c r="Z4" s="25"/>
    </row>
    <row r="5" ht="30.75" customHeight="1">
      <c r="A5" s="6"/>
      <c r="B5" s="6"/>
      <c r="C5" s="6"/>
      <c r="D5" s="6"/>
      <c r="E5" s="6"/>
      <c r="F5" s="6"/>
      <c r="G5" s="6"/>
      <c r="H5" s="6"/>
      <c r="I5" s="6"/>
      <c r="J5" s="6"/>
      <c r="K5" s="25"/>
      <c r="L5" s="25"/>
    </row>
    <row r="6" ht="30.75" customHeight="1">
      <c r="A6" s="26" t="s">
        <v>187</v>
      </c>
      <c r="B6" s="26" t="s">
        <v>160</v>
      </c>
      <c r="C6" s="26" t="s">
        <v>188</v>
      </c>
      <c r="D6" s="26" t="s">
        <v>189</v>
      </c>
      <c r="E6" s="26" t="s">
        <v>190</v>
      </c>
      <c r="F6" s="26" t="s">
        <v>191</v>
      </c>
      <c r="G6" s="26" t="s">
        <v>192</v>
      </c>
      <c r="H6" s="26" t="s">
        <v>193</v>
      </c>
      <c r="I6" s="26" t="s">
        <v>194</v>
      </c>
      <c r="J6" s="27" t="s">
        <v>195</v>
      </c>
      <c r="K6" s="25"/>
      <c r="L6" s="25" t="s">
        <v>196</v>
      </c>
    </row>
    <row r="7" ht="34.5" customHeight="1">
      <c r="A7" s="28" t="s">
        <v>197</v>
      </c>
      <c r="B7" s="28" t="s">
        <v>198</v>
      </c>
      <c r="C7" s="28" t="s">
        <v>199</v>
      </c>
      <c r="D7" s="28" t="s">
        <v>200</v>
      </c>
      <c r="E7" s="28" t="s">
        <v>201</v>
      </c>
      <c r="F7" s="28" t="s">
        <v>202</v>
      </c>
      <c r="G7" s="28" t="s">
        <v>203</v>
      </c>
      <c r="H7" s="28" t="s">
        <v>204</v>
      </c>
      <c r="I7" s="29" t="s">
        <v>205</v>
      </c>
      <c r="J7" s="30" t="s">
        <v>206</v>
      </c>
    </row>
    <row r="8" ht="23.25" customHeight="1">
      <c r="A8" s="31">
        <v>1.0</v>
      </c>
      <c r="B8" s="32">
        <v>46008.0</v>
      </c>
      <c r="C8" s="31" t="s">
        <v>207</v>
      </c>
      <c r="D8" s="31" t="s">
        <v>208</v>
      </c>
      <c r="E8" s="12" t="s">
        <v>209</v>
      </c>
      <c r="F8" s="31" t="s">
        <v>210</v>
      </c>
      <c r="G8" s="31" t="s">
        <v>211</v>
      </c>
      <c r="H8" s="31" t="s">
        <v>212</v>
      </c>
      <c r="I8" s="33" t="str">
        <f t="shared" ref="I8:I26" si="1">"You are an analytical assistant tasked with quantifying social stability using the Boundary Stability Index (BSI)."&amp;CHAR(10)&amp;CHAR(10)&amp;"Context:"&amp;CHAR(10)&amp;"- Policy domain: "&amp;C8&amp;CHAR(10)&amp;"- Geographic scope: "&amp;D8&amp;CHAR(10)&amp;"- Policy phase: "&amp;H8&amp;CHAR(10)&amp;"- Affected Layers: "&amp;G8&amp;CHAR(10)&amp;CHAR(10)&amp;"Situation description:"&amp;CHAR(10)&amp;E8&amp;CHAR(10)&amp;CHAR(10)&amp;"Observed signals:"&amp;CHAR(10)&amp;F8&amp;CHAR(10)&amp;CHAR(10)&amp;"Task:"&amp;CHAR(10)&amp;"1. Assess the stability level of each Boundary OS layer (L1–L5)."&amp;CHAR(10)&amp;"2. Assign a normalized score (0–100) to each layer."&amp;CHAR(10)&amp;"3. Briefly justify each score."&amp;CHAR(10)&amp;"4. Indicate uncertainty or ambiguity if present."&amp;CHAR(10)&amp;CHAR(10)&amp;"Important constraints:"&amp;CHAR(10)&amp;"- Do not make policy recommendations."&amp;CHAR(10)&amp;"- Do not infer intent."&amp;CHAR(10)&amp;"- Focus on observable boundary stability only."&amp;CHAR(10)&amp;CHAR(10)&amp;"Output format:"&amp;CHAR(10)&amp;"L1 (Material): score / justification"&amp;CHAR(10)&amp;"L2 (Physio-Sensory): score / justification"&amp;CHAR(10)&amp;"L3 (Affective): score / justification"&amp;CHAR(10)&amp;"L4 (Narrative): score / justification"&amp;CHAR(10)&amp;"L5 (Social/Institutional): score / justification"</f>
        <v>You are an analytical assistant tasked with quantifying social stability using the Boundary Stability Index (BSI).
Context:
- Policy domain: Migration
- Geographic scope: EU-wide
- Policy phase: Pre-crisis
- Affected Layers: L3
Situation description:
A sudden increase in irregular border crossings has been reported in multiple EU member states.
Observed signals:
protest frequency increased in urban areas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8" s="27" t="s">
        <v>213</v>
      </c>
      <c r="K8" s="34" t="s">
        <v>214</v>
      </c>
      <c r="L8" s="12" t="s">
        <v>215</v>
      </c>
    </row>
    <row r="9" ht="23.25" customHeight="1">
      <c r="A9" s="35"/>
      <c r="B9" s="35"/>
      <c r="C9" s="35"/>
      <c r="D9" s="35"/>
      <c r="E9" s="36"/>
      <c r="F9" s="36"/>
      <c r="G9" s="36"/>
      <c r="H9" s="35"/>
      <c r="I9"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9" s="33"/>
      <c r="K9" s="37"/>
      <c r="L9" s="12" t="s">
        <v>216</v>
      </c>
      <c r="U9" s="38"/>
      <c r="V9" s="38"/>
      <c r="W9" s="38"/>
    </row>
    <row r="10" ht="23.25" customHeight="1">
      <c r="A10" s="35"/>
      <c r="B10" s="35"/>
      <c r="C10" s="35"/>
      <c r="D10" s="35"/>
      <c r="E10" s="35"/>
      <c r="F10" s="35"/>
      <c r="G10" s="35"/>
      <c r="H10" s="35"/>
      <c r="I10"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10" s="39"/>
      <c r="K10" s="12"/>
      <c r="L10" s="12" t="s">
        <v>217</v>
      </c>
    </row>
    <row r="11" ht="23.25" customHeight="1">
      <c r="A11" s="35"/>
      <c r="B11" s="35"/>
      <c r="C11" s="35"/>
      <c r="D11" s="35"/>
      <c r="E11" s="35"/>
      <c r="F11" s="35"/>
      <c r="G11" s="35"/>
      <c r="H11" s="35"/>
      <c r="I11"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11" s="33"/>
      <c r="K11" s="12"/>
      <c r="L11" s="12" t="s">
        <v>218</v>
      </c>
      <c r="N11" s="38"/>
      <c r="O11" s="38"/>
      <c r="P11" s="38"/>
      <c r="R11" s="38"/>
      <c r="S11" s="38"/>
      <c r="T11" s="38"/>
    </row>
    <row r="12" ht="23.25" customHeight="1">
      <c r="A12" s="35"/>
      <c r="B12" s="35"/>
      <c r="C12" s="35"/>
      <c r="D12" s="35"/>
      <c r="E12" s="35"/>
      <c r="F12" s="35"/>
      <c r="G12" s="35"/>
      <c r="H12" s="35"/>
      <c r="I12"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12" s="33"/>
      <c r="K12" s="12"/>
      <c r="L12" s="12" t="s">
        <v>219</v>
      </c>
    </row>
    <row r="13" ht="23.25" customHeight="1">
      <c r="A13" s="35"/>
      <c r="B13" s="35"/>
      <c r="C13" s="35"/>
      <c r="D13" s="35"/>
      <c r="E13" s="35"/>
      <c r="F13" s="35"/>
      <c r="G13" s="35"/>
      <c r="H13" s="35"/>
      <c r="I13"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13" s="33"/>
      <c r="K13" s="37"/>
      <c r="L13" s="12" t="s">
        <v>209</v>
      </c>
    </row>
    <row r="14" ht="23.25" customHeight="1">
      <c r="A14" s="35"/>
      <c r="B14" s="35"/>
      <c r="C14" s="35"/>
      <c r="D14" s="35"/>
      <c r="E14" s="35"/>
      <c r="F14" s="35"/>
      <c r="G14" s="35"/>
      <c r="H14" s="35"/>
      <c r="I14"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14" s="33"/>
      <c r="K14" s="12"/>
      <c r="L14" s="12" t="s">
        <v>220</v>
      </c>
    </row>
    <row r="15" ht="23.25" customHeight="1">
      <c r="A15" s="35"/>
      <c r="B15" s="35"/>
      <c r="C15" s="35"/>
      <c r="D15" s="35"/>
      <c r="E15" s="35"/>
      <c r="F15" s="35"/>
      <c r="G15" s="35"/>
      <c r="H15" s="35"/>
      <c r="I15"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15" s="33"/>
      <c r="K15" s="37"/>
      <c r="L15" s="12" t="s">
        <v>221</v>
      </c>
    </row>
    <row r="16" ht="23.25" customHeight="1">
      <c r="A16" s="35"/>
      <c r="B16" s="35"/>
      <c r="C16" s="35"/>
      <c r="D16" s="35"/>
      <c r="E16" s="35"/>
      <c r="F16" s="35"/>
      <c r="G16" s="35"/>
      <c r="H16" s="35"/>
      <c r="I16"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16" s="33"/>
      <c r="K16" s="12"/>
      <c r="L16" s="12" t="s">
        <v>222</v>
      </c>
      <c r="U16" s="38"/>
      <c r="V16" s="38"/>
      <c r="W16" s="38"/>
    </row>
    <row r="17" ht="23.25" customHeight="1">
      <c r="A17" s="35"/>
      <c r="B17" s="35"/>
      <c r="C17" s="35"/>
      <c r="D17" s="35"/>
      <c r="E17" s="35"/>
      <c r="F17" s="35"/>
      <c r="G17" s="35"/>
      <c r="H17" s="35"/>
      <c r="I17"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17" s="33"/>
      <c r="K17" s="12"/>
      <c r="L17" s="12" t="s">
        <v>223</v>
      </c>
    </row>
    <row r="18" ht="23.25" customHeight="1">
      <c r="A18" s="35"/>
      <c r="B18" s="35"/>
      <c r="C18" s="35"/>
      <c r="D18" s="35"/>
      <c r="E18" s="35"/>
      <c r="F18" s="35"/>
      <c r="G18" s="35"/>
      <c r="H18" s="35"/>
      <c r="I18"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18" s="33"/>
      <c r="K18" s="37"/>
      <c r="L18" s="12" t="s">
        <v>224</v>
      </c>
    </row>
    <row r="19" ht="23.25" customHeight="1">
      <c r="A19" s="35"/>
      <c r="B19" s="35"/>
      <c r="C19" s="35"/>
      <c r="D19" s="35"/>
      <c r="E19" s="35"/>
      <c r="F19" s="35"/>
      <c r="G19" s="35"/>
      <c r="H19" s="35"/>
      <c r="I19"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19" s="33"/>
      <c r="K19" s="12"/>
    </row>
    <row r="20" ht="23.25" customHeight="1">
      <c r="A20" s="35"/>
      <c r="B20" s="35"/>
      <c r="C20" s="35"/>
      <c r="D20" s="35"/>
      <c r="E20" s="35"/>
      <c r="F20" s="35"/>
      <c r="G20" s="35"/>
      <c r="H20" s="35"/>
      <c r="I20"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20" s="33"/>
      <c r="K20" s="37"/>
      <c r="L20" s="37"/>
    </row>
    <row r="21" ht="23.25" customHeight="1">
      <c r="A21" s="35"/>
      <c r="B21" s="35"/>
      <c r="C21" s="35"/>
      <c r="D21" s="35"/>
      <c r="E21" s="35"/>
      <c r="F21" s="35"/>
      <c r="G21" s="35"/>
      <c r="H21" s="35"/>
      <c r="I21"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21" s="33"/>
      <c r="K21" s="12"/>
    </row>
    <row r="22" ht="23.25" customHeight="1">
      <c r="A22" s="35"/>
      <c r="B22" s="35"/>
      <c r="C22" s="35"/>
      <c r="D22" s="35"/>
      <c r="E22" s="35"/>
      <c r="F22" s="35"/>
      <c r="G22" s="35"/>
      <c r="H22" s="35"/>
      <c r="I22"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22" s="33"/>
      <c r="K22" s="37"/>
    </row>
    <row r="23" ht="23.25" customHeight="1">
      <c r="A23" s="35"/>
      <c r="B23" s="35"/>
      <c r="C23" s="35"/>
      <c r="D23" s="35"/>
      <c r="E23" s="35"/>
      <c r="F23" s="35"/>
      <c r="G23" s="35"/>
      <c r="H23" s="35"/>
      <c r="I23"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23" s="33"/>
      <c r="K23" s="12"/>
    </row>
    <row r="24" ht="23.25" customHeight="1">
      <c r="A24" s="40"/>
      <c r="B24" s="40"/>
      <c r="C24" s="40"/>
      <c r="D24" s="40"/>
      <c r="E24" s="40"/>
      <c r="F24" s="40"/>
      <c r="G24" s="40"/>
      <c r="H24" s="40"/>
      <c r="I24"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24" s="41"/>
      <c r="K24" s="37"/>
    </row>
    <row r="25" ht="23.25" customHeight="1">
      <c r="A25" s="40"/>
      <c r="B25" s="40"/>
      <c r="C25" s="40"/>
      <c r="D25" s="40"/>
      <c r="E25" s="40"/>
      <c r="F25" s="40"/>
      <c r="G25" s="40"/>
      <c r="H25" s="40"/>
      <c r="I25"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25" s="41"/>
      <c r="K25" s="12"/>
    </row>
    <row r="26" ht="23.25" customHeight="1">
      <c r="A26" s="40"/>
      <c r="B26" s="40"/>
      <c r="C26" s="40"/>
      <c r="D26" s="40"/>
      <c r="E26" s="40"/>
      <c r="F26" s="40"/>
      <c r="G26" s="40"/>
      <c r="H26" s="40"/>
      <c r="I26" s="33" t="str">
        <f t="shared" si="1"/>
        <v>You are an analytical assistant tasked with quantifying social stability using the Boundary Stability Index (BSI).
Context:
- Policy domain: 
- Geographic scope: 
- Policy phase: 
- Affected Layers: 
Situation description:
Observed signals:
Task:
1. Assess the stability level of each Boundary OS layer (L1–L5).
2. Assign a normalized score (0–100) to each layer.
3. Briefly justify each score.
4. Indicate uncertainty or ambiguity if present.
Important constraints:
- Do not make policy recommendations.
- Do not infer intent.
- Focus on observable boundary stability only.
Output format:
L1 (Material): score / justification
L2 (Physio-Sensory): score / justification
L3 (Affective): score / justification
L4 (Narrative): score / justification
L5 (Social/Institutional): score / justification</v>
      </c>
      <c r="J26" s="41"/>
    </row>
    <row r="33">
      <c r="H33" s="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12.0"/>
    <col customWidth="1" min="3" max="3" width="14.0"/>
    <col customWidth="1" min="4" max="4" width="28.0"/>
    <col customWidth="1" min="5" max="9" width="8.0"/>
    <col customWidth="1" min="10" max="10" width="38.0"/>
    <col customWidth="1" min="11" max="26" width="8.71"/>
  </cols>
  <sheetData>
    <row r="1">
      <c r="A1" s="18" t="s">
        <v>225</v>
      </c>
    </row>
    <row r="4">
      <c r="A4" s="20" t="s">
        <v>159</v>
      </c>
      <c r="B4" s="20" t="s">
        <v>160</v>
      </c>
      <c r="C4" s="20" t="s">
        <v>161</v>
      </c>
      <c r="D4" s="20" t="s">
        <v>162</v>
      </c>
      <c r="E4" s="20" t="s">
        <v>226</v>
      </c>
      <c r="F4" s="20" t="s">
        <v>227</v>
      </c>
      <c r="G4" s="20" t="s">
        <v>211</v>
      </c>
      <c r="H4" s="20" t="s">
        <v>228</v>
      </c>
      <c r="I4" s="20" t="s">
        <v>229</v>
      </c>
      <c r="J4" s="20" t="s">
        <v>230</v>
      </c>
    </row>
    <row r="5">
      <c r="A5" s="21" t="str">
        <f>CASE_INPUT!A6</f>
        <v>EU-2015</v>
      </c>
      <c r="B5" s="22">
        <f>CASE_INPUT!B6</f>
        <v>42248</v>
      </c>
      <c r="C5" s="21" t="str">
        <f>CASE_INPUT!C6</f>
        <v>EU</v>
      </c>
      <c r="D5" s="21" t="str">
        <f>CASE_INPUT!D6</f>
        <v>Migration crisis (synthetic)</v>
      </c>
      <c r="E5" s="21">
        <f>IF(CASE_INPUT!K6&lt;&gt;"",CASE_INPUT!K6,MAX(0,100-MIN(100,CASE_INPUT!F6/20)))</f>
        <v>40</v>
      </c>
      <c r="F5" s="21">
        <f>IF(CASE_INPUT!L6&lt;&gt;"",CASE_INPUT!L6,MAX(0,100-MIN(100,CASE_INPUT!H6*1.2)))</f>
        <v>34</v>
      </c>
      <c r="G5" s="21">
        <f>IF(CASE_INPUT!M6&lt;&gt;"",CASE_INPUT!M6,MAX(0,100-CASE_INPUT!G6))</f>
        <v>22</v>
      </c>
      <c r="H5" s="21">
        <f>IF(CASE_INPUT!N6&lt;&gt;"",CASE_INPUT!N6,MAX(0,100-CASE_INPUT!I6))</f>
        <v>28</v>
      </c>
      <c r="I5" s="21">
        <f>IF(CASE_INPUT!O6&lt;&gt;"",CASE_INPUT!O6,MAX(0,100-MIN(100,CASE_INPUT!J6*1.5)))</f>
        <v>32.5</v>
      </c>
      <c r="J5" s="21" t="s">
        <v>231</v>
      </c>
    </row>
    <row r="6">
      <c r="A6" s="21" t="str">
        <f>CASE_INPUT!A7</f>
        <v>EU-2023</v>
      </c>
      <c r="B6" s="22">
        <f>CASE_INPUT!B7</f>
        <v>45200</v>
      </c>
      <c r="C6" s="21" t="str">
        <f>CASE_INPUT!C7</f>
        <v>EU</v>
      </c>
      <c r="D6" s="21" t="str">
        <f>CASE_INPUT!D7</f>
        <v>Migration pressure (synthetic)</v>
      </c>
      <c r="E6" s="21">
        <f>IF(CASE_INPUT!K7&lt;&gt;"",CASE_INPUT!K7,MAX(0,100-MIN(100,CASE_INPUT!F7/20)))</f>
        <v>67.5</v>
      </c>
      <c r="F6" s="21">
        <f>IF(CASE_INPUT!L7&lt;&gt;"",CASE_INPUT!L7,MAX(0,100-MIN(100,CASE_INPUT!H7*1.2)))</f>
        <v>4</v>
      </c>
      <c r="G6" s="21">
        <f>IF(CASE_INPUT!M7&lt;&gt;"",CASE_INPUT!M7,MAX(0,100-CASE_INPUT!G7))</f>
        <v>38</v>
      </c>
      <c r="H6" s="21">
        <f>IF(CASE_INPUT!N7&lt;&gt;"",CASE_INPUT!N7,MAX(0,100-CASE_INPUT!I7))</f>
        <v>32</v>
      </c>
      <c r="I6" s="21">
        <f>IF(CASE_INPUT!O7&lt;&gt;"",CASE_INPUT!O7,MAX(0,100-MIN(100,CASE_INPUT!J7*1.5)))</f>
        <v>47.5</v>
      </c>
      <c r="J6" s="21" t="s">
        <v>231</v>
      </c>
    </row>
    <row r="7">
      <c r="A7" s="21" t="str">
        <f>CASE_INPUT!A8</f>
        <v>SG-TRI-2026Q4</v>
      </c>
      <c r="B7" s="22">
        <f>CASE_INPUT!B8</f>
        <v>46357</v>
      </c>
      <c r="C7" s="21" t="str">
        <f>CASE_INPUT!C8</f>
        <v>SG/TW/EE</v>
      </c>
      <c r="D7" s="21" t="str">
        <f>CASE_INPUT!D8</f>
        <v>Tri-nation pilot baseline</v>
      </c>
      <c r="E7" s="21">
        <f>IF(CASE_INPUT!K8&lt;&gt;"",CASE_INPUT!K8,MAX(0,100-MIN(100,CASE_INPUT!F8/20)))</f>
        <v>99.4</v>
      </c>
      <c r="F7" s="21">
        <f>IF(CASE_INPUT!L8&lt;&gt;"",CASE_INPUT!L8,MAX(0,100-MIN(100,CASE_INPUT!H8*1.2)))</f>
        <v>82</v>
      </c>
      <c r="G7" s="21">
        <f>IF(CASE_INPUT!M8&lt;&gt;"",CASE_INPUT!M8,MAX(0,100-CASE_INPUT!G8))</f>
        <v>75</v>
      </c>
      <c r="H7" s="21">
        <f>IF(CASE_INPUT!N8&lt;&gt;"",CASE_INPUT!N8,MAX(0,100-CASE_INPUT!I8))</f>
        <v>72</v>
      </c>
      <c r="I7" s="21">
        <f>IF(CASE_INPUT!O8&lt;&gt;"",CASE_INPUT!O8,MAX(0,100-MIN(100,CASE_INPUT!J8*1.5)))</f>
        <v>85</v>
      </c>
      <c r="J7" s="21" t="s">
        <v>231</v>
      </c>
    </row>
    <row r="8">
      <c r="A8" s="21" t="str">
        <f>CASE_INPUT!A9</f>
        <v/>
      </c>
      <c r="B8" s="21" t="str">
        <f>CASE_INPUT!B9</f>
        <v/>
      </c>
      <c r="C8" s="21" t="str">
        <f>CASE_INPUT!C9</f>
        <v/>
      </c>
      <c r="D8" s="21" t="str">
        <f>CASE_INPUT!D9</f>
        <v/>
      </c>
      <c r="E8" s="21">
        <f>IF(CASE_INPUT!K9&lt;&gt;"",CASE_INPUT!K9,MAX(0,100-MIN(100,CASE_INPUT!F9/20)))</f>
        <v>100</v>
      </c>
      <c r="F8" s="21">
        <f>IF(CASE_INPUT!L9&lt;&gt;"",CASE_INPUT!L9,MAX(0,100-MIN(100,CASE_INPUT!H9*1.2)))</f>
        <v>100</v>
      </c>
      <c r="G8" s="21">
        <f>IF(CASE_INPUT!M9&lt;&gt;"",CASE_INPUT!M9,MAX(0,100-CASE_INPUT!G9))</f>
        <v>100</v>
      </c>
      <c r="H8" s="21">
        <f>IF(CASE_INPUT!N9&lt;&gt;"",CASE_INPUT!N9,MAX(0,100-CASE_INPUT!I9))</f>
        <v>100</v>
      </c>
      <c r="I8" s="21">
        <f>IF(CASE_INPUT!O9&lt;&gt;"",CASE_INPUT!O9,MAX(0,100-MIN(100,CASE_INPUT!J9*1.5)))</f>
        <v>100</v>
      </c>
      <c r="J8" s="21" t="s">
        <v>231</v>
      </c>
    </row>
    <row r="9">
      <c r="A9" s="21" t="str">
        <f>CASE_INPUT!A10</f>
        <v/>
      </c>
      <c r="B9" s="21" t="str">
        <f>CASE_INPUT!B10</f>
        <v/>
      </c>
      <c r="C9" s="21" t="str">
        <f>CASE_INPUT!C10</f>
        <v/>
      </c>
      <c r="D9" s="21" t="str">
        <f>CASE_INPUT!D10</f>
        <v/>
      </c>
      <c r="E9" s="21">
        <f>IF(CASE_INPUT!K10&lt;&gt;"",CASE_INPUT!K10,MAX(0,100-MIN(100,CASE_INPUT!F10/20)))</f>
        <v>100</v>
      </c>
      <c r="F9" s="21">
        <f>IF(CASE_INPUT!L10&lt;&gt;"",CASE_INPUT!L10,MAX(0,100-MIN(100,CASE_INPUT!H10*1.2)))</f>
        <v>100</v>
      </c>
      <c r="G9" s="21">
        <f>IF(CASE_INPUT!M10&lt;&gt;"",CASE_INPUT!M10,MAX(0,100-CASE_INPUT!G10))</f>
        <v>100</v>
      </c>
      <c r="H9" s="21">
        <f>IF(CASE_INPUT!N10&lt;&gt;"",CASE_INPUT!N10,MAX(0,100-CASE_INPUT!I10))</f>
        <v>100</v>
      </c>
      <c r="I9" s="21">
        <f>IF(CASE_INPUT!O10&lt;&gt;"",CASE_INPUT!O10,MAX(0,100-MIN(100,CASE_INPUT!J10*1.5)))</f>
        <v>100</v>
      </c>
      <c r="J9" s="21" t="s">
        <v>231</v>
      </c>
    </row>
    <row r="10">
      <c r="A10" s="21" t="str">
        <f>CASE_INPUT!A11</f>
        <v/>
      </c>
      <c r="B10" s="21" t="str">
        <f>CASE_INPUT!B11</f>
        <v/>
      </c>
      <c r="C10" s="21" t="str">
        <f>CASE_INPUT!C11</f>
        <v/>
      </c>
      <c r="D10" s="21" t="str">
        <f>CASE_INPUT!D11</f>
        <v/>
      </c>
      <c r="E10" s="21">
        <f>IF(CASE_INPUT!K11&lt;&gt;"",CASE_INPUT!K11,MAX(0,100-MIN(100,CASE_INPUT!F11/20)))</f>
        <v>100</v>
      </c>
      <c r="F10" s="21">
        <f>IF(CASE_INPUT!L11&lt;&gt;"",CASE_INPUT!L11,MAX(0,100-MIN(100,CASE_INPUT!H11*1.2)))</f>
        <v>100</v>
      </c>
      <c r="G10" s="21">
        <f>IF(CASE_INPUT!M11&lt;&gt;"",CASE_INPUT!M11,MAX(0,100-CASE_INPUT!G11))</f>
        <v>100</v>
      </c>
      <c r="H10" s="21">
        <f>IF(CASE_INPUT!N11&lt;&gt;"",CASE_INPUT!N11,MAX(0,100-CASE_INPUT!I11))</f>
        <v>100</v>
      </c>
      <c r="I10" s="21">
        <f>IF(CASE_INPUT!O11&lt;&gt;"",CASE_INPUT!O11,MAX(0,100-MIN(100,CASE_INPUT!J11*1.5)))</f>
        <v>100</v>
      </c>
      <c r="J10" s="21" t="s">
        <v>231</v>
      </c>
    </row>
    <row r="11">
      <c r="A11" s="21" t="str">
        <f>CASE_INPUT!A12</f>
        <v/>
      </c>
      <c r="B11" s="21" t="str">
        <f>CASE_INPUT!B12</f>
        <v/>
      </c>
      <c r="C11" s="21" t="str">
        <f>CASE_INPUT!C12</f>
        <v/>
      </c>
      <c r="D11" s="21" t="str">
        <f>CASE_INPUT!D12</f>
        <v/>
      </c>
      <c r="E11" s="21">
        <f>IF(CASE_INPUT!K12&lt;&gt;"",CASE_INPUT!K12,MAX(0,100-MIN(100,CASE_INPUT!F12/20)))</f>
        <v>100</v>
      </c>
      <c r="F11" s="21">
        <f>IF(CASE_INPUT!L12&lt;&gt;"",CASE_INPUT!L12,MAX(0,100-MIN(100,CASE_INPUT!H12*1.2)))</f>
        <v>100</v>
      </c>
      <c r="G11" s="21">
        <f>IF(CASE_INPUT!M12&lt;&gt;"",CASE_INPUT!M12,MAX(0,100-CASE_INPUT!G12))</f>
        <v>100</v>
      </c>
      <c r="H11" s="21">
        <f>IF(CASE_INPUT!N12&lt;&gt;"",CASE_INPUT!N12,MAX(0,100-CASE_INPUT!I12))</f>
        <v>100</v>
      </c>
      <c r="I11" s="21">
        <f>IF(CASE_INPUT!O12&lt;&gt;"",CASE_INPUT!O12,MAX(0,100-MIN(100,CASE_INPUT!J12*1.5)))</f>
        <v>100</v>
      </c>
      <c r="J11" s="21" t="s">
        <v>231</v>
      </c>
    </row>
    <row r="12">
      <c r="A12" s="21" t="str">
        <f>CASE_INPUT!A13</f>
        <v/>
      </c>
      <c r="B12" s="21" t="str">
        <f>CASE_INPUT!B13</f>
        <v/>
      </c>
      <c r="C12" s="21" t="str">
        <f>CASE_INPUT!C13</f>
        <v/>
      </c>
      <c r="D12" s="21" t="str">
        <f>CASE_INPUT!D13</f>
        <v/>
      </c>
      <c r="E12" s="21">
        <f>IF(CASE_INPUT!K13&lt;&gt;"",CASE_INPUT!K13,MAX(0,100-MIN(100,CASE_INPUT!F13/20)))</f>
        <v>100</v>
      </c>
      <c r="F12" s="21">
        <f>IF(CASE_INPUT!L13&lt;&gt;"",CASE_INPUT!L13,MAX(0,100-MIN(100,CASE_INPUT!H13*1.2)))</f>
        <v>100</v>
      </c>
      <c r="G12" s="21">
        <f>IF(CASE_INPUT!M13&lt;&gt;"",CASE_INPUT!M13,MAX(0,100-CASE_INPUT!G13))</f>
        <v>100</v>
      </c>
      <c r="H12" s="21">
        <f>IF(CASE_INPUT!N13&lt;&gt;"",CASE_INPUT!N13,MAX(0,100-CASE_INPUT!I13))</f>
        <v>100</v>
      </c>
      <c r="I12" s="21">
        <f>IF(CASE_INPUT!O13&lt;&gt;"",CASE_INPUT!O13,MAX(0,100-MIN(100,CASE_INPUT!J13*1.5)))</f>
        <v>100</v>
      </c>
      <c r="J12" s="21" t="s">
        <v>231</v>
      </c>
    </row>
    <row r="13">
      <c r="A13" s="21" t="str">
        <f>CASE_INPUT!A14</f>
        <v/>
      </c>
      <c r="B13" s="21" t="str">
        <f>CASE_INPUT!B14</f>
        <v/>
      </c>
      <c r="C13" s="21" t="str">
        <f>CASE_INPUT!C14</f>
        <v/>
      </c>
      <c r="D13" s="21" t="str">
        <f>CASE_INPUT!D14</f>
        <v/>
      </c>
      <c r="E13" s="21">
        <f>IF(CASE_INPUT!K14&lt;&gt;"",CASE_INPUT!K14,MAX(0,100-MIN(100,CASE_INPUT!F14/20)))</f>
        <v>100</v>
      </c>
      <c r="F13" s="21">
        <f>IF(CASE_INPUT!L14&lt;&gt;"",CASE_INPUT!L14,MAX(0,100-MIN(100,CASE_INPUT!H14*1.2)))</f>
        <v>100</v>
      </c>
      <c r="G13" s="21">
        <f>IF(CASE_INPUT!M14&lt;&gt;"",CASE_INPUT!M14,MAX(0,100-CASE_INPUT!G14))</f>
        <v>100</v>
      </c>
      <c r="H13" s="21">
        <f>IF(CASE_INPUT!N14&lt;&gt;"",CASE_INPUT!N14,MAX(0,100-CASE_INPUT!I14))</f>
        <v>100</v>
      </c>
      <c r="I13" s="21">
        <f>IF(CASE_INPUT!O14&lt;&gt;"",CASE_INPUT!O14,MAX(0,100-MIN(100,CASE_INPUT!J14*1.5)))</f>
        <v>100</v>
      </c>
      <c r="J13" s="21" t="s">
        <v>231</v>
      </c>
    </row>
    <row r="14">
      <c r="A14" s="21" t="str">
        <f>CASE_INPUT!A15</f>
        <v/>
      </c>
      <c r="B14" s="21" t="str">
        <f>CASE_INPUT!B15</f>
        <v/>
      </c>
      <c r="C14" s="21" t="str">
        <f>CASE_INPUT!C15</f>
        <v/>
      </c>
      <c r="D14" s="21" t="str">
        <f>CASE_INPUT!D15</f>
        <v/>
      </c>
      <c r="E14" s="21">
        <f>IF(CASE_INPUT!K15&lt;&gt;"",CASE_INPUT!K15,MAX(0,100-MIN(100,CASE_INPUT!F15/20)))</f>
        <v>100</v>
      </c>
      <c r="F14" s="21">
        <f>IF(CASE_INPUT!L15&lt;&gt;"",CASE_INPUT!L15,MAX(0,100-MIN(100,CASE_INPUT!H15*1.2)))</f>
        <v>100</v>
      </c>
      <c r="G14" s="21">
        <f>IF(CASE_INPUT!M15&lt;&gt;"",CASE_INPUT!M15,MAX(0,100-CASE_INPUT!G15))</f>
        <v>100</v>
      </c>
      <c r="H14" s="21">
        <f>IF(CASE_INPUT!N15&lt;&gt;"",CASE_INPUT!N15,MAX(0,100-CASE_INPUT!I15))</f>
        <v>100</v>
      </c>
      <c r="I14" s="21">
        <f>IF(CASE_INPUT!O15&lt;&gt;"",CASE_INPUT!O15,MAX(0,100-MIN(100,CASE_INPUT!J15*1.5)))</f>
        <v>100</v>
      </c>
      <c r="J14" s="21" t="s">
        <v>231</v>
      </c>
    </row>
    <row r="15">
      <c r="A15" s="21" t="str">
        <f>CASE_INPUT!A16</f>
        <v/>
      </c>
      <c r="B15" s="21" t="str">
        <f>CASE_INPUT!B16</f>
        <v/>
      </c>
      <c r="C15" s="21" t="str">
        <f>CASE_INPUT!C16</f>
        <v/>
      </c>
      <c r="D15" s="21" t="str">
        <f>CASE_INPUT!D16</f>
        <v/>
      </c>
      <c r="E15" s="21">
        <f>IF(CASE_INPUT!K16&lt;&gt;"",CASE_INPUT!K16,MAX(0,100-MIN(100,CASE_INPUT!F16/20)))</f>
        <v>100</v>
      </c>
      <c r="F15" s="21">
        <f>IF(CASE_INPUT!L16&lt;&gt;"",CASE_INPUT!L16,MAX(0,100-MIN(100,CASE_INPUT!H16*1.2)))</f>
        <v>100</v>
      </c>
      <c r="G15" s="21">
        <f>IF(CASE_INPUT!M16&lt;&gt;"",CASE_INPUT!M16,MAX(0,100-CASE_INPUT!G16))</f>
        <v>100</v>
      </c>
      <c r="H15" s="21">
        <f>IF(CASE_INPUT!N16&lt;&gt;"",CASE_INPUT!N16,MAX(0,100-CASE_INPUT!I16))</f>
        <v>100</v>
      </c>
      <c r="I15" s="21">
        <f>IF(CASE_INPUT!O16&lt;&gt;"",CASE_INPUT!O16,MAX(0,100-MIN(100,CASE_INPUT!J16*1.5)))</f>
        <v>100</v>
      </c>
      <c r="J15" s="21" t="s">
        <v>231</v>
      </c>
    </row>
    <row r="16">
      <c r="A16" s="21" t="str">
        <f>CASE_INPUT!A17</f>
        <v/>
      </c>
      <c r="B16" s="21" t="str">
        <f>CASE_INPUT!B17</f>
        <v/>
      </c>
      <c r="C16" s="21" t="str">
        <f>CASE_INPUT!C17</f>
        <v/>
      </c>
      <c r="D16" s="21" t="str">
        <f>CASE_INPUT!D17</f>
        <v/>
      </c>
      <c r="E16" s="21">
        <f>IF(CASE_INPUT!K17&lt;&gt;"",CASE_INPUT!K17,MAX(0,100-MIN(100,CASE_INPUT!F17/20)))</f>
        <v>100</v>
      </c>
      <c r="F16" s="21">
        <f>IF(CASE_INPUT!L17&lt;&gt;"",CASE_INPUT!L17,MAX(0,100-MIN(100,CASE_INPUT!H17*1.2)))</f>
        <v>100</v>
      </c>
      <c r="G16" s="21">
        <f>IF(CASE_INPUT!M17&lt;&gt;"",CASE_INPUT!M17,MAX(0,100-CASE_INPUT!G17))</f>
        <v>100</v>
      </c>
      <c r="H16" s="21">
        <f>IF(CASE_INPUT!N17&lt;&gt;"",CASE_INPUT!N17,MAX(0,100-CASE_INPUT!I17))</f>
        <v>100</v>
      </c>
      <c r="I16" s="21">
        <f>IF(CASE_INPUT!O17&lt;&gt;"",CASE_INPUT!O17,MAX(0,100-MIN(100,CASE_INPUT!J17*1.5)))</f>
        <v>100</v>
      </c>
      <c r="J16" s="21" t="s">
        <v>231</v>
      </c>
    </row>
    <row r="17">
      <c r="A17" s="21" t="str">
        <f>CASE_INPUT!A18</f>
        <v/>
      </c>
      <c r="B17" s="21" t="str">
        <f>CASE_INPUT!B18</f>
        <v/>
      </c>
      <c r="C17" s="21" t="str">
        <f>CASE_INPUT!C18</f>
        <v/>
      </c>
      <c r="D17" s="21" t="str">
        <f>CASE_INPUT!D18</f>
        <v/>
      </c>
      <c r="E17" s="21">
        <f>IF(CASE_INPUT!K18&lt;&gt;"",CASE_INPUT!K18,MAX(0,100-MIN(100,CASE_INPUT!F18/20)))</f>
        <v>100</v>
      </c>
      <c r="F17" s="21">
        <f>IF(CASE_INPUT!L18&lt;&gt;"",CASE_INPUT!L18,MAX(0,100-MIN(100,CASE_INPUT!H18*1.2)))</f>
        <v>100</v>
      </c>
      <c r="G17" s="21">
        <f>IF(CASE_INPUT!M18&lt;&gt;"",CASE_INPUT!M18,MAX(0,100-CASE_INPUT!G18))</f>
        <v>100</v>
      </c>
      <c r="H17" s="21">
        <f>IF(CASE_INPUT!N18&lt;&gt;"",CASE_INPUT!N18,MAX(0,100-CASE_INPUT!I18))</f>
        <v>100</v>
      </c>
      <c r="I17" s="21">
        <f>IF(CASE_INPUT!O18&lt;&gt;"",CASE_INPUT!O18,MAX(0,100-MIN(100,CASE_INPUT!J18*1.5)))</f>
        <v>100</v>
      </c>
      <c r="J17" s="21" t="s">
        <v>231</v>
      </c>
    </row>
    <row r="18">
      <c r="A18" s="21" t="str">
        <f>CASE_INPUT!A19</f>
        <v/>
      </c>
      <c r="B18" s="21" t="str">
        <f>CASE_INPUT!B19</f>
        <v/>
      </c>
      <c r="C18" s="21" t="str">
        <f>CASE_INPUT!C19</f>
        <v/>
      </c>
      <c r="D18" s="21" t="str">
        <f>CASE_INPUT!D19</f>
        <v/>
      </c>
      <c r="E18" s="21">
        <f>IF(CASE_INPUT!K19&lt;&gt;"",CASE_INPUT!K19,MAX(0,100-MIN(100,CASE_INPUT!F19/20)))</f>
        <v>100</v>
      </c>
      <c r="F18" s="21">
        <f>IF(CASE_INPUT!L19&lt;&gt;"",CASE_INPUT!L19,MAX(0,100-MIN(100,CASE_INPUT!H19*1.2)))</f>
        <v>100</v>
      </c>
      <c r="G18" s="21">
        <f>IF(CASE_INPUT!M19&lt;&gt;"",CASE_INPUT!M19,MAX(0,100-CASE_INPUT!G19))</f>
        <v>100</v>
      </c>
      <c r="H18" s="21">
        <f>IF(CASE_INPUT!N19&lt;&gt;"",CASE_INPUT!N19,MAX(0,100-CASE_INPUT!I19))</f>
        <v>100</v>
      </c>
      <c r="I18" s="21">
        <f>IF(CASE_INPUT!O19&lt;&gt;"",CASE_INPUT!O19,MAX(0,100-MIN(100,CASE_INPUT!J19*1.5)))</f>
        <v>100</v>
      </c>
      <c r="J18" s="21" t="s">
        <v>231</v>
      </c>
    </row>
    <row r="19">
      <c r="A19" s="21" t="str">
        <f>CASE_INPUT!A20</f>
        <v/>
      </c>
      <c r="B19" s="21" t="str">
        <f>CASE_INPUT!B20</f>
        <v/>
      </c>
      <c r="C19" s="21" t="str">
        <f>CASE_INPUT!C20</f>
        <v/>
      </c>
      <c r="D19" s="21" t="str">
        <f>CASE_INPUT!D20</f>
        <v/>
      </c>
      <c r="E19" s="21">
        <f>IF(CASE_INPUT!K20&lt;&gt;"",CASE_INPUT!K20,MAX(0,100-MIN(100,CASE_INPUT!F20/20)))</f>
        <v>100</v>
      </c>
      <c r="F19" s="21">
        <f>IF(CASE_INPUT!L20&lt;&gt;"",CASE_INPUT!L20,MAX(0,100-MIN(100,CASE_INPUT!H20*1.2)))</f>
        <v>100</v>
      </c>
      <c r="G19" s="21">
        <f>IF(CASE_INPUT!M20&lt;&gt;"",CASE_INPUT!M20,MAX(0,100-CASE_INPUT!G20))</f>
        <v>100</v>
      </c>
      <c r="H19" s="21">
        <f>IF(CASE_INPUT!N20&lt;&gt;"",CASE_INPUT!N20,MAX(0,100-CASE_INPUT!I20))</f>
        <v>100</v>
      </c>
      <c r="I19" s="21">
        <f>IF(CASE_INPUT!O20&lt;&gt;"",CASE_INPUT!O20,MAX(0,100-MIN(100,CASE_INPUT!J20*1.5)))</f>
        <v>100</v>
      </c>
      <c r="J19" s="21" t="s">
        <v>231</v>
      </c>
    </row>
    <row r="20">
      <c r="A20" s="21" t="str">
        <f>CASE_INPUT!A21</f>
        <v/>
      </c>
      <c r="B20" s="21" t="str">
        <f>CASE_INPUT!B21</f>
        <v/>
      </c>
      <c r="C20" s="21" t="str">
        <f>CASE_INPUT!C21</f>
        <v/>
      </c>
      <c r="D20" s="21" t="str">
        <f>CASE_INPUT!D21</f>
        <v/>
      </c>
      <c r="E20" s="21">
        <f>IF(CASE_INPUT!K21&lt;&gt;"",CASE_INPUT!K21,MAX(0,100-MIN(100,CASE_INPUT!F21/20)))</f>
        <v>100</v>
      </c>
      <c r="F20" s="21">
        <f>IF(CASE_INPUT!L21&lt;&gt;"",CASE_INPUT!L21,MAX(0,100-MIN(100,CASE_INPUT!H21*1.2)))</f>
        <v>100</v>
      </c>
      <c r="G20" s="21">
        <f>IF(CASE_INPUT!M21&lt;&gt;"",CASE_INPUT!M21,MAX(0,100-CASE_INPUT!G21))</f>
        <v>100</v>
      </c>
      <c r="H20" s="21">
        <f>IF(CASE_INPUT!N21&lt;&gt;"",CASE_INPUT!N21,MAX(0,100-CASE_INPUT!I21))</f>
        <v>100</v>
      </c>
      <c r="I20" s="21">
        <f>IF(CASE_INPUT!O21&lt;&gt;"",CASE_INPUT!O21,MAX(0,100-MIN(100,CASE_INPUT!J21*1.5)))</f>
        <v>100</v>
      </c>
      <c r="J20" s="21" t="s">
        <v>231</v>
      </c>
    </row>
    <row r="21" ht="15.75" customHeight="1">
      <c r="A21" s="21" t="str">
        <f>CASE_INPUT!A22</f>
        <v/>
      </c>
      <c r="B21" s="21" t="str">
        <f>CASE_INPUT!B22</f>
        <v/>
      </c>
      <c r="C21" s="21" t="str">
        <f>CASE_INPUT!C22</f>
        <v/>
      </c>
      <c r="D21" s="21" t="str">
        <f>CASE_INPUT!D22</f>
        <v/>
      </c>
      <c r="E21" s="21">
        <f>IF(CASE_INPUT!K22&lt;&gt;"",CASE_INPUT!K22,MAX(0,100-MIN(100,CASE_INPUT!F22/20)))</f>
        <v>100</v>
      </c>
      <c r="F21" s="21">
        <f>IF(CASE_INPUT!L22&lt;&gt;"",CASE_INPUT!L22,MAX(0,100-MIN(100,CASE_INPUT!H22*1.2)))</f>
        <v>100</v>
      </c>
      <c r="G21" s="21">
        <f>IF(CASE_INPUT!M22&lt;&gt;"",CASE_INPUT!M22,MAX(0,100-CASE_INPUT!G22))</f>
        <v>100</v>
      </c>
      <c r="H21" s="21">
        <f>IF(CASE_INPUT!N22&lt;&gt;"",CASE_INPUT!N22,MAX(0,100-CASE_INPUT!I22))</f>
        <v>100</v>
      </c>
      <c r="I21" s="21">
        <f>IF(CASE_INPUT!O22&lt;&gt;"",CASE_INPUT!O22,MAX(0,100-MIN(100,CASE_INPUT!J22*1.5)))</f>
        <v>100</v>
      </c>
      <c r="J21" s="21" t="s">
        <v>231</v>
      </c>
    </row>
    <row r="22" ht="15.75" customHeight="1">
      <c r="A22" s="21" t="str">
        <f>CASE_INPUT!A23</f>
        <v/>
      </c>
      <c r="B22" s="21" t="str">
        <f>CASE_INPUT!B23</f>
        <v/>
      </c>
      <c r="C22" s="21" t="str">
        <f>CASE_INPUT!C23</f>
        <v/>
      </c>
      <c r="D22" s="21" t="str">
        <f>CASE_INPUT!D23</f>
        <v/>
      </c>
      <c r="E22" s="21">
        <f>IF(CASE_INPUT!K23&lt;&gt;"",CASE_INPUT!K23,MAX(0,100-MIN(100,CASE_INPUT!F23/20)))</f>
        <v>100</v>
      </c>
      <c r="F22" s="21">
        <f>IF(CASE_INPUT!L23&lt;&gt;"",CASE_INPUT!L23,MAX(0,100-MIN(100,CASE_INPUT!H23*1.2)))</f>
        <v>100</v>
      </c>
      <c r="G22" s="21">
        <f>IF(CASE_INPUT!M23&lt;&gt;"",CASE_INPUT!M23,MAX(0,100-CASE_INPUT!G23))</f>
        <v>100</v>
      </c>
      <c r="H22" s="21">
        <f>IF(CASE_INPUT!N23&lt;&gt;"",CASE_INPUT!N23,MAX(0,100-CASE_INPUT!I23))</f>
        <v>100</v>
      </c>
      <c r="I22" s="21">
        <f>IF(CASE_INPUT!O23&lt;&gt;"",CASE_INPUT!O23,MAX(0,100-MIN(100,CASE_INPUT!J23*1.5)))</f>
        <v>100</v>
      </c>
      <c r="J22" s="21" t="s">
        <v>231</v>
      </c>
    </row>
    <row r="23" ht="15.75" customHeight="1">
      <c r="A23" s="21" t="str">
        <f>CASE_INPUT!A24</f>
        <v/>
      </c>
      <c r="B23" s="21" t="str">
        <f>CASE_INPUT!B24</f>
        <v/>
      </c>
      <c r="C23" s="21" t="str">
        <f>CASE_INPUT!C24</f>
        <v/>
      </c>
      <c r="D23" s="21" t="str">
        <f>CASE_INPUT!D24</f>
        <v/>
      </c>
      <c r="E23" s="21">
        <f>IF(CASE_INPUT!K24&lt;&gt;"",CASE_INPUT!K24,MAX(0,100-MIN(100,CASE_INPUT!F24/20)))</f>
        <v>100</v>
      </c>
      <c r="F23" s="21">
        <f>IF(CASE_INPUT!L24&lt;&gt;"",CASE_INPUT!L24,MAX(0,100-MIN(100,CASE_INPUT!H24*1.2)))</f>
        <v>100</v>
      </c>
      <c r="G23" s="21">
        <f>IF(CASE_INPUT!M24&lt;&gt;"",CASE_INPUT!M24,MAX(0,100-CASE_INPUT!G24))</f>
        <v>100</v>
      </c>
      <c r="H23" s="21">
        <f>IF(CASE_INPUT!N24&lt;&gt;"",CASE_INPUT!N24,MAX(0,100-CASE_INPUT!I24))</f>
        <v>100</v>
      </c>
      <c r="I23" s="21">
        <f>IF(CASE_INPUT!O24&lt;&gt;"",CASE_INPUT!O24,MAX(0,100-MIN(100,CASE_INPUT!J24*1.5)))</f>
        <v>100</v>
      </c>
      <c r="J23" s="21" t="s">
        <v>231</v>
      </c>
    </row>
    <row r="24" ht="15.75" customHeight="1">
      <c r="A24" s="21" t="str">
        <f>CASE_INPUT!A25</f>
        <v/>
      </c>
      <c r="B24" s="21" t="str">
        <f>CASE_INPUT!B25</f>
        <v/>
      </c>
      <c r="C24" s="21" t="str">
        <f>CASE_INPUT!C25</f>
        <v/>
      </c>
      <c r="D24" s="21" t="str">
        <f>CASE_INPUT!D25</f>
        <v/>
      </c>
      <c r="E24" s="21">
        <f>IF(CASE_INPUT!K25&lt;&gt;"",CASE_INPUT!K25,MAX(0,100-MIN(100,CASE_INPUT!F25/20)))</f>
        <v>100</v>
      </c>
      <c r="F24" s="21">
        <f>IF(CASE_INPUT!L25&lt;&gt;"",CASE_INPUT!L25,MAX(0,100-MIN(100,CASE_INPUT!H25*1.2)))</f>
        <v>100</v>
      </c>
      <c r="G24" s="21">
        <f>IF(CASE_INPUT!M25&lt;&gt;"",CASE_INPUT!M25,MAX(0,100-CASE_INPUT!G25))</f>
        <v>100</v>
      </c>
      <c r="H24" s="21">
        <f>IF(CASE_INPUT!N25&lt;&gt;"",CASE_INPUT!N25,MAX(0,100-CASE_INPUT!I25))</f>
        <v>100</v>
      </c>
      <c r="I24" s="21">
        <f>IF(CASE_INPUT!O25&lt;&gt;"",CASE_INPUT!O25,MAX(0,100-MIN(100,CASE_INPUT!J25*1.5)))</f>
        <v>100</v>
      </c>
      <c r="J24" s="21" t="s">
        <v>231</v>
      </c>
    </row>
    <row r="25" ht="15.75" customHeight="1">
      <c r="A25" s="21" t="str">
        <f>CASE_INPUT!A26</f>
        <v/>
      </c>
      <c r="B25" s="21" t="str">
        <f>CASE_INPUT!B26</f>
        <v/>
      </c>
      <c r="C25" s="21" t="str">
        <f>CASE_INPUT!C26</f>
        <v/>
      </c>
      <c r="D25" s="21" t="str">
        <f>CASE_INPUT!D26</f>
        <v/>
      </c>
      <c r="E25" s="21">
        <f>IF(CASE_INPUT!K26&lt;&gt;"",CASE_INPUT!K26,MAX(0,100-MIN(100,CASE_INPUT!F26/20)))</f>
        <v>100</v>
      </c>
      <c r="F25" s="21">
        <f>IF(CASE_INPUT!L26&lt;&gt;"",CASE_INPUT!L26,MAX(0,100-MIN(100,CASE_INPUT!H26*1.2)))</f>
        <v>100</v>
      </c>
      <c r="G25" s="21">
        <f>IF(CASE_INPUT!M26&lt;&gt;"",CASE_INPUT!M26,MAX(0,100-CASE_INPUT!G26))</f>
        <v>100</v>
      </c>
      <c r="H25" s="21">
        <f>IF(CASE_INPUT!N26&lt;&gt;"",CASE_INPUT!N26,MAX(0,100-CASE_INPUT!I26))</f>
        <v>100</v>
      </c>
      <c r="I25" s="21">
        <f>IF(CASE_INPUT!O26&lt;&gt;"",CASE_INPUT!O26,MAX(0,100-MIN(100,CASE_INPUT!J26*1.5)))</f>
        <v>100</v>
      </c>
      <c r="J25" s="21" t="s">
        <v>231</v>
      </c>
    </row>
    <row r="26" ht="15.75" customHeight="1">
      <c r="A26" s="21" t="str">
        <f>CASE_INPUT!A27</f>
        <v/>
      </c>
      <c r="B26" s="21" t="str">
        <f>CASE_INPUT!B27</f>
        <v/>
      </c>
      <c r="C26" s="21" t="str">
        <f>CASE_INPUT!C27</f>
        <v/>
      </c>
      <c r="D26" s="21" t="str">
        <f>CASE_INPUT!D27</f>
        <v/>
      </c>
      <c r="E26" s="21">
        <f>IF(CASE_INPUT!K27&lt;&gt;"",CASE_INPUT!K27,MAX(0,100-MIN(100,CASE_INPUT!F27/20)))</f>
        <v>100</v>
      </c>
      <c r="F26" s="21">
        <f>IF(CASE_INPUT!L27&lt;&gt;"",CASE_INPUT!L27,MAX(0,100-MIN(100,CASE_INPUT!H27*1.2)))</f>
        <v>100</v>
      </c>
      <c r="G26" s="21">
        <f>IF(CASE_INPUT!M27&lt;&gt;"",CASE_INPUT!M27,MAX(0,100-CASE_INPUT!G27))</f>
        <v>100</v>
      </c>
      <c r="H26" s="21">
        <f>IF(CASE_INPUT!N27&lt;&gt;"",CASE_INPUT!N27,MAX(0,100-CASE_INPUT!I27))</f>
        <v>100</v>
      </c>
      <c r="I26" s="21">
        <f>IF(CASE_INPUT!O27&lt;&gt;"",CASE_INPUT!O27,MAX(0,100-MIN(100,CASE_INPUT!J27*1.5)))</f>
        <v>100</v>
      </c>
      <c r="J26" s="21" t="s">
        <v>231</v>
      </c>
    </row>
    <row r="27" ht="15.75" customHeight="1">
      <c r="A27" s="21" t="str">
        <f>CASE_INPUT!A28</f>
        <v/>
      </c>
      <c r="B27" s="21" t="str">
        <f>CASE_INPUT!B28</f>
        <v/>
      </c>
      <c r="C27" s="21" t="str">
        <f>CASE_INPUT!C28</f>
        <v/>
      </c>
      <c r="D27" s="21" t="str">
        <f>CASE_INPUT!D28</f>
        <v/>
      </c>
      <c r="E27" s="21">
        <f>IF(CASE_INPUT!K28&lt;&gt;"",CASE_INPUT!K28,MAX(0,100-MIN(100,CASE_INPUT!F28/20)))</f>
        <v>100</v>
      </c>
      <c r="F27" s="21">
        <f>IF(CASE_INPUT!L28&lt;&gt;"",CASE_INPUT!L28,MAX(0,100-MIN(100,CASE_INPUT!H28*1.2)))</f>
        <v>100</v>
      </c>
      <c r="G27" s="21">
        <f>IF(CASE_INPUT!M28&lt;&gt;"",CASE_INPUT!M28,MAX(0,100-CASE_INPUT!G28))</f>
        <v>100</v>
      </c>
      <c r="H27" s="21">
        <f>IF(CASE_INPUT!N28&lt;&gt;"",CASE_INPUT!N28,MAX(0,100-CASE_INPUT!I28))</f>
        <v>100</v>
      </c>
      <c r="I27" s="21">
        <f>IF(CASE_INPUT!O28&lt;&gt;"",CASE_INPUT!O28,MAX(0,100-MIN(100,CASE_INPUT!J28*1.5)))</f>
        <v>100</v>
      </c>
      <c r="J27" s="21" t="s">
        <v>231</v>
      </c>
    </row>
    <row r="28" ht="15.75" customHeight="1">
      <c r="A28" s="21" t="str">
        <f>CASE_INPUT!A29</f>
        <v/>
      </c>
      <c r="B28" s="21" t="str">
        <f>CASE_INPUT!B29</f>
        <v/>
      </c>
      <c r="C28" s="21" t="str">
        <f>CASE_INPUT!C29</f>
        <v/>
      </c>
      <c r="D28" s="21" t="str">
        <f>CASE_INPUT!D29</f>
        <v/>
      </c>
      <c r="E28" s="21">
        <f>IF(CASE_INPUT!K29&lt;&gt;"",CASE_INPUT!K29,MAX(0,100-MIN(100,CASE_INPUT!F29/20)))</f>
        <v>100</v>
      </c>
      <c r="F28" s="21">
        <f>IF(CASE_INPUT!L29&lt;&gt;"",CASE_INPUT!L29,MAX(0,100-MIN(100,CASE_INPUT!H29*1.2)))</f>
        <v>100</v>
      </c>
      <c r="G28" s="21">
        <f>IF(CASE_INPUT!M29&lt;&gt;"",CASE_INPUT!M29,MAX(0,100-CASE_INPUT!G29))</f>
        <v>100</v>
      </c>
      <c r="H28" s="21">
        <f>IF(CASE_INPUT!N29&lt;&gt;"",CASE_INPUT!N29,MAX(0,100-CASE_INPUT!I29))</f>
        <v>100</v>
      </c>
      <c r="I28" s="21">
        <f>IF(CASE_INPUT!O29&lt;&gt;"",CASE_INPUT!O29,MAX(0,100-MIN(100,CASE_INPUT!J29*1.5)))</f>
        <v>100</v>
      </c>
      <c r="J28" s="21" t="s">
        <v>231</v>
      </c>
    </row>
    <row r="29" ht="15.75" customHeight="1">
      <c r="A29" s="21" t="str">
        <f>CASE_INPUT!A30</f>
        <v/>
      </c>
      <c r="B29" s="21" t="str">
        <f>CASE_INPUT!B30</f>
        <v/>
      </c>
      <c r="C29" s="21" t="str">
        <f>CASE_INPUT!C30</f>
        <v/>
      </c>
      <c r="D29" s="21" t="str">
        <f>CASE_INPUT!D30</f>
        <v/>
      </c>
      <c r="E29" s="21">
        <f>IF(CASE_INPUT!K30&lt;&gt;"",CASE_INPUT!K30,MAX(0,100-MIN(100,CASE_INPUT!F30/20)))</f>
        <v>100</v>
      </c>
      <c r="F29" s="21">
        <f>IF(CASE_INPUT!L30&lt;&gt;"",CASE_INPUT!L30,MAX(0,100-MIN(100,CASE_INPUT!H30*1.2)))</f>
        <v>100</v>
      </c>
      <c r="G29" s="21">
        <f>IF(CASE_INPUT!M30&lt;&gt;"",CASE_INPUT!M30,MAX(0,100-CASE_INPUT!G30))</f>
        <v>100</v>
      </c>
      <c r="H29" s="21">
        <f>IF(CASE_INPUT!N30&lt;&gt;"",CASE_INPUT!N30,MAX(0,100-CASE_INPUT!I30))</f>
        <v>100</v>
      </c>
      <c r="I29" s="21">
        <f>IF(CASE_INPUT!O30&lt;&gt;"",CASE_INPUT!O30,MAX(0,100-MIN(100,CASE_INPUT!J30*1.5)))</f>
        <v>100</v>
      </c>
      <c r="J29" s="21" t="s">
        <v>231</v>
      </c>
    </row>
    <row r="30" ht="15.75" customHeight="1">
      <c r="A30" s="21" t="str">
        <f>CASE_INPUT!A31</f>
        <v/>
      </c>
      <c r="B30" s="21" t="str">
        <f>CASE_INPUT!B31</f>
        <v/>
      </c>
      <c r="C30" s="21" t="str">
        <f>CASE_INPUT!C31</f>
        <v/>
      </c>
      <c r="D30" s="21" t="str">
        <f>CASE_INPUT!D31</f>
        <v/>
      </c>
      <c r="E30" s="21">
        <f>IF(CASE_INPUT!K31&lt;&gt;"",CASE_INPUT!K31,MAX(0,100-MIN(100,CASE_INPUT!F31/20)))</f>
        <v>100</v>
      </c>
      <c r="F30" s="21">
        <f>IF(CASE_INPUT!L31&lt;&gt;"",CASE_INPUT!L31,MAX(0,100-MIN(100,CASE_INPUT!H31*1.2)))</f>
        <v>100</v>
      </c>
      <c r="G30" s="21">
        <f>IF(CASE_INPUT!M31&lt;&gt;"",CASE_INPUT!M31,MAX(0,100-CASE_INPUT!G31))</f>
        <v>100</v>
      </c>
      <c r="H30" s="21">
        <f>IF(CASE_INPUT!N31&lt;&gt;"",CASE_INPUT!N31,MAX(0,100-CASE_INPUT!I31))</f>
        <v>100</v>
      </c>
      <c r="I30" s="21">
        <f>IF(CASE_INPUT!O31&lt;&gt;"",CASE_INPUT!O31,MAX(0,100-MIN(100,CASE_INPUT!J31*1.5)))</f>
        <v>100</v>
      </c>
      <c r="J30" s="21" t="s">
        <v>231</v>
      </c>
    </row>
    <row r="31" ht="15.75" customHeight="1">
      <c r="A31" s="21" t="str">
        <f>CASE_INPUT!A32</f>
        <v/>
      </c>
      <c r="B31" s="21" t="str">
        <f>CASE_INPUT!B32</f>
        <v/>
      </c>
      <c r="C31" s="21" t="str">
        <f>CASE_INPUT!C32</f>
        <v/>
      </c>
      <c r="D31" s="21" t="str">
        <f>CASE_INPUT!D32</f>
        <v/>
      </c>
      <c r="E31" s="21">
        <f>IF(CASE_INPUT!K32&lt;&gt;"",CASE_INPUT!K32,MAX(0,100-MIN(100,CASE_INPUT!F32/20)))</f>
        <v>100</v>
      </c>
      <c r="F31" s="21">
        <f>IF(CASE_INPUT!L32&lt;&gt;"",CASE_INPUT!L32,MAX(0,100-MIN(100,CASE_INPUT!H32*1.2)))</f>
        <v>100</v>
      </c>
      <c r="G31" s="21">
        <f>IF(CASE_INPUT!M32&lt;&gt;"",CASE_INPUT!M32,MAX(0,100-CASE_INPUT!G32))</f>
        <v>100</v>
      </c>
      <c r="H31" s="21">
        <f>IF(CASE_INPUT!N32&lt;&gt;"",CASE_INPUT!N32,MAX(0,100-CASE_INPUT!I32))</f>
        <v>100</v>
      </c>
      <c r="I31" s="21">
        <f>IF(CASE_INPUT!O32&lt;&gt;"",CASE_INPUT!O32,MAX(0,100-MIN(100,CASE_INPUT!J32*1.5)))</f>
        <v>100</v>
      </c>
      <c r="J31" s="21" t="s">
        <v>231</v>
      </c>
    </row>
    <row r="32" ht="15.75" customHeight="1">
      <c r="A32" s="21" t="str">
        <f>CASE_INPUT!A33</f>
        <v/>
      </c>
      <c r="B32" s="21" t="str">
        <f>CASE_INPUT!B33</f>
        <v/>
      </c>
      <c r="C32" s="21" t="str">
        <f>CASE_INPUT!C33</f>
        <v/>
      </c>
      <c r="D32" s="21" t="str">
        <f>CASE_INPUT!D33</f>
        <v/>
      </c>
      <c r="E32" s="21">
        <f>IF(CASE_INPUT!K33&lt;&gt;"",CASE_INPUT!K33,MAX(0,100-MIN(100,CASE_INPUT!F33/20)))</f>
        <v>100</v>
      </c>
      <c r="F32" s="21">
        <f>IF(CASE_INPUT!L33&lt;&gt;"",CASE_INPUT!L33,MAX(0,100-MIN(100,CASE_INPUT!H33*1.2)))</f>
        <v>100</v>
      </c>
      <c r="G32" s="21">
        <f>IF(CASE_INPUT!M33&lt;&gt;"",CASE_INPUT!M33,MAX(0,100-CASE_INPUT!G33))</f>
        <v>100</v>
      </c>
      <c r="H32" s="21">
        <f>IF(CASE_INPUT!N33&lt;&gt;"",CASE_INPUT!N33,MAX(0,100-CASE_INPUT!I33))</f>
        <v>100</v>
      </c>
      <c r="I32" s="21">
        <f>IF(CASE_INPUT!O33&lt;&gt;"",CASE_INPUT!O33,MAX(0,100-MIN(100,CASE_INPUT!J33*1.5)))</f>
        <v>100</v>
      </c>
      <c r="J32" s="21" t="s">
        <v>231</v>
      </c>
    </row>
    <row r="33" ht="15.75" customHeight="1">
      <c r="A33" s="21" t="str">
        <f>CASE_INPUT!A34</f>
        <v/>
      </c>
      <c r="B33" s="21" t="str">
        <f>CASE_INPUT!B34</f>
        <v/>
      </c>
      <c r="C33" s="21" t="str">
        <f>CASE_INPUT!C34</f>
        <v/>
      </c>
      <c r="D33" s="21" t="str">
        <f>CASE_INPUT!D34</f>
        <v/>
      </c>
      <c r="E33" s="21">
        <f>IF(CASE_INPUT!K34&lt;&gt;"",CASE_INPUT!K34,MAX(0,100-MIN(100,CASE_INPUT!F34/20)))</f>
        <v>100</v>
      </c>
      <c r="F33" s="21">
        <f>IF(CASE_INPUT!L34&lt;&gt;"",CASE_INPUT!L34,MAX(0,100-MIN(100,CASE_INPUT!H34*1.2)))</f>
        <v>100</v>
      </c>
      <c r="G33" s="21">
        <f>IF(CASE_INPUT!M34&lt;&gt;"",CASE_INPUT!M34,MAX(0,100-CASE_INPUT!G34))</f>
        <v>100</v>
      </c>
      <c r="H33" s="21">
        <f>IF(CASE_INPUT!N34&lt;&gt;"",CASE_INPUT!N34,MAX(0,100-CASE_INPUT!I34))</f>
        <v>100</v>
      </c>
      <c r="I33" s="21">
        <f>IF(CASE_INPUT!O34&lt;&gt;"",CASE_INPUT!O34,MAX(0,100-MIN(100,CASE_INPUT!J34*1.5)))</f>
        <v>100</v>
      </c>
      <c r="J33" s="21" t="s">
        <v>231</v>
      </c>
    </row>
    <row r="34" ht="15.75" customHeight="1">
      <c r="A34" s="21" t="str">
        <f>CASE_INPUT!A35</f>
        <v/>
      </c>
      <c r="B34" s="21" t="str">
        <f>CASE_INPUT!B35</f>
        <v/>
      </c>
      <c r="C34" s="21" t="str">
        <f>CASE_INPUT!C35</f>
        <v/>
      </c>
      <c r="D34" s="21" t="str">
        <f>CASE_INPUT!D35</f>
        <v/>
      </c>
      <c r="E34" s="21">
        <f>IF(CASE_INPUT!K35&lt;&gt;"",CASE_INPUT!K35,MAX(0,100-MIN(100,CASE_INPUT!F35/20)))</f>
        <v>100</v>
      </c>
      <c r="F34" s="21">
        <f>IF(CASE_INPUT!L35&lt;&gt;"",CASE_INPUT!L35,MAX(0,100-MIN(100,CASE_INPUT!H35*1.2)))</f>
        <v>100</v>
      </c>
      <c r="G34" s="21">
        <f>IF(CASE_INPUT!M35&lt;&gt;"",CASE_INPUT!M35,MAX(0,100-CASE_INPUT!G35))</f>
        <v>100</v>
      </c>
      <c r="H34" s="21">
        <f>IF(CASE_INPUT!N35&lt;&gt;"",CASE_INPUT!N35,MAX(0,100-CASE_INPUT!I35))</f>
        <v>100</v>
      </c>
      <c r="I34" s="21">
        <f>IF(CASE_INPUT!O35&lt;&gt;"",CASE_INPUT!O35,MAX(0,100-MIN(100,CASE_INPUT!J35*1.5)))</f>
        <v>100</v>
      </c>
      <c r="J34" s="21" t="s">
        <v>231</v>
      </c>
    </row>
    <row r="35" ht="15.75" customHeight="1">
      <c r="A35" s="21" t="str">
        <f>CASE_INPUT!A36</f>
        <v/>
      </c>
      <c r="B35" s="21" t="str">
        <f>CASE_INPUT!B36</f>
        <v/>
      </c>
      <c r="C35" s="21" t="str">
        <f>CASE_INPUT!C36</f>
        <v/>
      </c>
      <c r="D35" s="21" t="str">
        <f>CASE_INPUT!D36</f>
        <v/>
      </c>
      <c r="E35" s="21">
        <f>IF(CASE_INPUT!K36&lt;&gt;"",CASE_INPUT!K36,MAX(0,100-MIN(100,CASE_INPUT!F36/20)))</f>
        <v>100</v>
      </c>
      <c r="F35" s="21">
        <f>IF(CASE_INPUT!L36&lt;&gt;"",CASE_INPUT!L36,MAX(0,100-MIN(100,CASE_INPUT!H36*1.2)))</f>
        <v>100</v>
      </c>
      <c r="G35" s="21">
        <f>IF(CASE_INPUT!M36&lt;&gt;"",CASE_INPUT!M36,MAX(0,100-CASE_INPUT!G36))</f>
        <v>100</v>
      </c>
      <c r="H35" s="21">
        <f>IF(CASE_INPUT!N36&lt;&gt;"",CASE_INPUT!N36,MAX(0,100-CASE_INPUT!I36))</f>
        <v>100</v>
      </c>
      <c r="I35" s="21">
        <f>IF(CASE_INPUT!O36&lt;&gt;"",CASE_INPUT!O36,MAX(0,100-MIN(100,CASE_INPUT!J36*1.5)))</f>
        <v>100</v>
      </c>
      <c r="J35" s="21" t="s">
        <v>231</v>
      </c>
    </row>
    <row r="36" ht="15.75" customHeight="1">
      <c r="A36" s="21" t="str">
        <f>CASE_INPUT!A37</f>
        <v/>
      </c>
      <c r="B36" s="21" t="str">
        <f>CASE_INPUT!B37</f>
        <v/>
      </c>
      <c r="C36" s="21" t="str">
        <f>CASE_INPUT!C37</f>
        <v/>
      </c>
      <c r="D36" s="21" t="str">
        <f>CASE_INPUT!D37</f>
        <v/>
      </c>
      <c r="E36" s="21">
        <f>IF(CASE_INPUT!K37&lt;&gt;"",CASE_INPUT!K37,MAX(0,100-MIN(100,CASE_INPUT!F37/20)))</f>
        <v>100</v>
      </c>
      <c r="F36" s="21">
        <f>IF(CASE_INPUT!L37&lt;&gt;"",CASE_INPUT!L37,MAX(0,100-MIN(100,CASE_INPUT!H37*1.2)))</f>
        <v>100</v>
      </c>
      <c r="G36" s="21">
        <f>IF(CASE_INPUT!M37&lt;&gt;"",CASE_INPUT!M37,MAX(0,100-CASE_INPUT!G37))</f>
        <v>100</v>
      </c>
      <c r="H36" s="21">
        <f>IF(CASE_INPUT!N37&lt;&gt;"",CASE_INPUT!N37,MAX(0,100-CASE_INPUT!I37))</f>
        <v>100</v>
      </c>
      <c r="I36" s="21">
        <f>IF(CASE_INPUT!O37&lt;&gt;"",CASE_INPUT!O37,MAX(0,100-MIN(100,CASE_INPUT!J37*1.5)))</f>
        <v>100</v>
      </c>
      <c r="J36" s="21" t="s">
        <v>231</v>
      </c>
    </row>
    <row r="37" ht="15.75" customHeight="1">
      <c r="A37" s="21" t="str">
        <f>CASE_INPUT!A38</f>
        <v/>
      </c>
      <c r="B37" s="21" t="str">
        <f>CASE_INPUT!B38</f>
        <v/>
      </c>
      <c r="C37" s="21" t="str">
        <f>CASE_INPUT!C38</f>
        <v/>
      </c>
      <c r="D37" s="21" t="str">
        <f>CASE_INPUT!D38</f>
        <v/>
      </c>
      <c r="E37" s="21">
        <f>IF(CASE_INPUT!K38&lt;&gt;"",CASE_INPUT!K38,MAX(0,100-MIN(100,CASE_INPUT!F38/20)))</f>
        <v>100</v>
      </c>
      <c r="F37" s="21">
        <f>IF(CASE_INPUT!L38&lt;&gt;"",CASE_INPUT!L38,MAX(0,100-MIN(100,CASE_INPUT!H38*1.2)))</f>
        <v>100</v>
      </c>
      <c r="G37" s="21">
        <f>IF(CASE_INPUT!M38&lt;&gt;"",CASE_INPUT!M38,MAX(0,100-CASE_INPUT!G38))</f>
        <v>100</v>
      </c>
      <c r="H37" s="21">
        <f>IF(CASE_INPUT!N38&lt;&gt;"",CASE_INPUT!N38,MAX(0,100-CASE_INPUT!I38))</f>
        <v>100</v>
      </c>
      <c r="I37" s="21">
        <f>IF(CASE_INPUT!O38&lt;&gt;"",CASE_INPUT!O38,MAX(0,100-MIN(100,CASE_INPUT!J38*1.5)))</f>
        <v>100</v>
      </c>
      <c r="J37" s="21" t="s">
        <v>231</v>
      </c>
    </row>
    <row r="38" ht="15.75" customHeight="1">
      <c r="A38" s="21" t="str">
        <f>CASE_INPUT!A39</f>
        <v/>
      </c>
      <c r="B38" s="21" t="str">
        <f>CASE_INPUT!B39</f>
        <v/>
      </c>
      <c r="C38" s="21" t="str">
        <f>CASE_INPUT!C39</f>
        <v/>
      </c>
      <c r="D38" s="21" t="str">
        <f>CASE_INPUT!D39</f>
        <v/>
      </c>
      <c r="E38" s="21">
        <f>IF(CASE_INPUT!K39&lt;&gt;"",CASE_INPUT!K39,MAX(0,100-MIN(100,CASE_INPUT!F39/20)))</f>
        <v>100</v>
      </c>
      <c r="F38" s="21">
        <f>IF(CASE_INPUT!L39&lt;&gt;"",CASE_INPUT!L39,MAX(0,100-MIN(100,CASE_INPUT!H39*1.2)))</f>
        <v>100</v>
      </c>
      <c r="G38" s="21">
        <f>IF(CASE_INPUT!M39&lt;&gt;"",CASE_INPUT!M39,MAX(0,100-CASE_INPUT!G39))</f>
        <v>100</v>
      </c>
      <c r="H38" s="21">
        <f>IF(CASE_INPUT!N39&lt;&gt;"",CASE_INPUT!N39,MAX(0,100-CASE_INPUT!I39))</f>
        <v>100</v>
      </c>
      <c r="I38" s="21">
        <f>IF(CASE_INPUT!O39&lt;&gt;"",CASE_INPUT!O39,MAX(0,100-MIN(100,CASE_INPUT!J39*1.5)))</f>
        <v>100</v>
      </c>
      <c r="J38" s="21" t="s">
        <v>231</v>
      </c>
    </row>
    <row r="39" ht="15.75" customHeight="1">
      <c r="A39" s="21" t="str">
        <f>CASE_INPUT!A40</f>
        <v/>
      </c>
      <c r="B39" s="21" t="str">
        <f>CASE_INPUT!B40</f>
        <v/>
      </c>
      <c r="C39" s="21" t="str">
        <f>CASE_INPUT!C40</f>
        <v/>
      </c>
      <c r="D39" s="21" t="str">
        <f>CASE_INPUT!D40</f>
        <v/>
      </c>
      <c r="E39" s="21">
        <f>IF(CASE_INPUT!K40&lt;&gt;"",CASE_INPUT!K40,MAX(0,100-MIN(100,CASE_INPUT!F40/20)))</f>
        <v>100</v>
      </c>
      <c r="F39" s="21">
        <f>IF(CASE_INPUT!L40&lt;&gt;"",CASE_INPUT!L40,MAX(0,100-MIN(100,CASE_INPUT!H40*1.2)))</f>
        <v>100</v>
      </c>
      <c r="G39" s="21">
        <f>IF(CASE_INPUT!M40&lt;&gt;"",CASE_INPUT!M40,MAX(0,100-CASE_INPUT!G40))</f>
        <v>100</v>
      </c>
      <c r="H39" s="21">
        <f>IF(CASE_INPUT!N40&lt;&gt;"",CASE_INPUT!N40,MAX(0,100-CASE_INPUT!I40))</f>
        <v>100</v>
      </c>
      <c r="I39" s="21">
        <f>IF(CASE_INPUT!O40&lt;&gt;"",CASE_INPUT!O40,MAX(0,100-MIN(100,CASE_INPUT!J40*1.5)))</f>
        <v>100</v>
      </c>
      <c r="J39" s="21" t="s">
        <v>231</v>
      </c>
    </row>
    <row r="40" ht="15.75" customHeight="1">
      <c r="A40" s="21" t="str">
        <f>CASE_INPUT!A41</f>
        <v/>
      </c>
      <c r="B40" s="21" t="str">
        <f>CASE_INPUT!B41</f>
        <v/>
      </c>
      <c r="C40" s="21" t="str">
        <f>CASE_INPUT!C41</f>
        <v/>
      </c>
      <c r="D40" s="21" t="str">
        <f>CASE_INPUT!D41</f>
        <v/>
      </c>
      <c r="E40" s="21">
        <f>IF(CASE_INPUT!K41&lt;&gt;"",CASE_INPUT!K41,MAX(0,100-MIN(100,CASE_INPUT!F41/20)))</f>
        <v>100</v>
      </c>
      <c r="F40" s="21">
        <f>IF(CASE_INPUT!L41&lt;&gt;"",CASE_INPUT!L41,MAX(0,100-MIN(100,CASE_INPUT!H41*1.2)))</f>
        <v>100</v>
      </c>
      <c r="G40" s="21">
        <f>IF(CASE_INPUT!M41&lt;&gt;"",CASE_INPUT!M41,MAX(0,100-CASE_INPUT!G41))</f>
        <v>100</v>
      </c>
      <c r="H40" s="21">
        <f>IF(CASE_INPUT!N41&lt;&gt;"",CASE_INPUT!N41,MAX(0,100-CASE_INPUT!I41))</f>
        <v>100</v>
      </c>
      <c r="I40" s="21">
        <f>IF(CASE_INPUT!O41&lt;&gt;"",CASE_INPUT!O41,MAX(0,100-MIN(100,CASE_INPUT!J41*1.5)))</f>
        <v>100</v>
      </c>
      <c r="J40" s="21" t="s">
        <v>231</v>
      </c>
    </row>
    <row r="41" ht="15.75" customHeight="1">
      <c r="A41" s="21" t="str">
        <f>CASE_INPUT!A42</f>
        <v/>
      </c>
      <c r="B41" s="21" t="str">
        <f>CASE_INPUT!B42</f>
        <v/>
      </c>
      <c r="C41" s="21" t="str">
        <f>CASE_INPUT!C42</f>
        <v/>
      </c>
      <c r="D41" s="21" t="str">
        <f>CASE_INPUT!D42</f>
        <v/>
      </c>
      <c r="E41" s="21">
        <f>IF(CASE_INPUT!K42&lt;&gt;"",CASE_INPUT!K42,MAX(0,100-MIN(100,CASE_INPUT!F42/20)))</f>
        <v>100</v>
      </c>
      <c r="F41" s="21">
        <f>IF(CASE_INPUT!L42&lt;&gt;"",CASE_INPUT!L42,MAX(0,100-MIN(100,CASE_INPUT!H42*1.2)))</f>
        <v>100</v>
      </c>
      <c r="G41" s="21">
        <f>IF(CASE_INPUT!M42&lt;&gt;"",CASE_INPUT!M42,MAX(0,100-CASE_INPUT!G42))</f>
        <v>100</v>
      </c>
      <c r="H41" s="21">
        <f>IF(CASE_INPUT!N42&lt;&gt;"",CASE_INPUT!N42,MAX(0,100-CASE_INPUT!I42))</f>
        <v>100</v>
      </c>
      <c r="I41" s="21">
        <f>IF(CASE_INPUT!O42&lt;&gt;"",CASE_INPUT!O42,MAX(0,100-MIN(100,CASE_INPUT!J42*1.5)))</f>
        <v>100</v>
      </c>
      <c r="J41" s="21" t="s">
        <v>231</v>
      </c>
    </row>
    <row r="42" ht="15.75" customHeight="1">
      <c r="A42" s="21" t="str">
        <f>CASE_INPUT!A43</f>
        <v/>
      </c>
      <c r="B42" s="21" t="str">
        <f>CASE_INPUT!B43</f>
        <v/>
      </c>
      <c r="C42" s="21" t="str">
        <f>CASE_INPUT!C43</f>
        <v/>
      </c>
      <c r="D42" s="21" t="str">
        <f>CASE_INPUT!D43</f>
        <v/>
      </c>
      <c r="E42" s="21">
        <f>IF(CASE_INPUT!K43&lt;&gt;"",CASE_INPUT!K43,MAX(0,100-MIN(100,CASE_INPUT!F43/20)))</f>
        <v>100</v>
      </c>
      <c r="F42" s="21">
        <f>IF(CASE_INPUT!L43&lt;&gt;"",CASE_INPUT!L43,MAX(0,100-MIN(100,CASE_INPUT!H43*1.2)))</f>
        <v>100</v>
      </c>
      <c r="G42" s="21">
        <f>IF(CASE_INPUT!M43&lt;&gt;"",CASE_INPUT!M43,MAX(0,100-CASE_INPUT!G43))</f>
        <v>100</v>
      </c>
      <c r="H42" s="21">
        <f>IF(CASE_INPUT!N43&lt;&gt;"",CASE_INPUT!N43,MAX(0,100-CASE_INPUT!I43))</f>
        <v>100</v>
      </c>
      <c r="I42" s="21">
        <f>IF(CASE_INPUT!O43&lt;&gt;"",CASE_INPUT!O43,MAX(0,100-MIN(100,CASE_INPUT!J43*1.5)))</f>
        <v>100</v>
      </c>
      <c r="J42" s="21" t="s">
        <v>231</v>
      </c>
    </row>
    <row r="43" ht="15.75" customHeight="1">
      <c r="A43" s="21" t="str">
        <f>CASE_INPUT!A44</f>
        <v/>
      </c>
      <c r="B43" s="21" t="str">
        <f>CASE_INPUT!B44</f>
        <v/>
      </c>
      <c r="C43" s="21" t="str">
        <f>CASE_INPUT!C44</f>
        <v/>
      </c>
      <c r="D43" s="21" t="str">
        <f>CASE_INPUT!D44</f>
        <v/>
      </c>
      <c r="E43" s="21">
        <f>IF(CASE_INPUT!K44&lt;&gt;"",CASE_INPUT!K44,MAX(0,100-MIN(100,CASE_INPUT!F44/20)))</f>
        <v>100</v>
      </c>
      <c r="F43" s="21">
        <f>IF(CASE_INPUT!L44&lt;&gt;"",CASE_INPUT!L44,MAX(0,100-MIN(100,CASE_INPUT!H44*1.2)))</f>
        <v>100</v>
      </c>
      <c r="G43" s="21">
        <f>IF(CASE_INPUT!M44&lt;&gt;"",CASE_INPUT!M44,MAX(0,100-CASE_INPUT!G44))</f>
        <v>100</v>
      </c>
      <c r="H43" s="21">
        <f>IF(CASE_INPUT!N44&lt;&gt;"",CASE_INPUT!N44,MAX(0,100-CASE_INPUT!I44))</f>
        <v>100</v>
      </c>
      <c r="I43" s="21">
        <f>IF(CASE_INPUT!O44&lt;&gt;"",CASE_INPUT!O44,MAX(0,100-MIN(100,CASE_INPUT!J44*1.5)))</f>
        <v>100</v>
      </c>
      <c r="J43" s="21" t="s">
        <v>231</v>
      </c>
    </row>
    <row r="44" ht="15.75" customHeight="1">
      <c r="A44" s="21" t="str">
        <f>CASE_INPUT!A45</f>
        <v/>
      </c>
      <c r="B44" s="21" t="str">
        <f>CASE_INPUT!B45</f>
        <v/>
      </c>
      <c r="C44" s="21" t="str">
        <f>CASE_INPUT!C45</f>
        <v/>
      </c>
      <c r="D44" s="21" t="str">
        <f>CASE_INPUT!D45</f>
        <v/>
      </c>
      <c r="E44" s="21">
        <f>IF(CASE_INPUT!K45&lt;&gt;"",CASE_INPUT!K45,MAX(0,100-MIN(100,CASE_INPUT!F45/20)))</f>
        <v>100</v>
      </c>
      <c r="F44" s="21">
        <f>IF(CASE_INPUT!L45&lt;&gt;"",CASE_INPUT!L45,MAX(0,100-MIN(100,CASE_INPUT!H45*1.2)))</f>
        <v>100</v>
      </c>
      <c r="G44" s="21">
        <f>IF(CASE_INPUT!M45&lt;&gt;"",CASE_INPUT!M45,MAX(0,100-CASE_INPUT!G45))</f>
        <v>100</v>
      </c>
      <c r="H44" s="21">
        <f>IF(CASE_INPUT!N45&lt;&gt;"",CASE_INPUT!N45,MAX(0,100-CASE_INPUT!I45))</f>
        <v>100</v>
      </c>
      <c r="I44" s="21">
        <f>IF(CASE_INPUT!O45&lt;&gt;"",CASE_INPUT!O45,MAX(0,100-MIN(100,CASE_INPUT!J45*1.5)))</f>
        <v>100</v>
      </c>
      <c r="J44" s="21" t="s">
        <v>231</v>
      </c>
    </row>
    <row r="45" ht="15.75" customHeight="1">
      <c r="A45" s="21" t="str">
        <f>CASE_INPUT!A46</f>
        <v/>
      </c>
      <c r="B45" s="21" t="str">
        <f>CASE_INPUT!B46</f>
        <v/>
      </c>
      <c r="C45" s="21" t="str">
        <f>CASE_INPUT!C46</f>
        <v/>
      </c>
      <c r="D45" s="21" t="str">
        <f>CASE_INPUT!D46</f>
        <v/>
      </c>
      <c r="E45" s="21">
        <f>IF(CASE_INPUT!K46&lt;&gt;"",CASE_INPUT!K46,MAX(0,100-MIN(100,CASE_INPUT!F46/20)))</f>
        <v>100</v>
      </c>
      <c r="F45" s="21">
        <f>IF(CASE_INPUT!L46&lt;&gt;"",CASE_INPUT!L46,MAX(0,100-MIN(100,CASE_INPUT!H46*1.2)))</f>
        <v>100</v>
      </c>
      <c r="G45" s="21">
        <f>IF(CASE_INPUT!M46&lt;&gt;"",CASE_INPUT!M46,MAX(0,100-CASE_INPUT!G46))</f>
        <v>100</v>
      </c>
      <c r="H45" s="21">
        <f>IF(CASE_INPUT!N46&lt;&gt;"",CASE_INPUT!N46,MAX(0,100-CASE_INPUT!I46))</f>
        <v>100</v>
      </c>
      <c r="I45" s="21">
        <f>IF(CASE_INPUT!O46&lt;&gt;"",CASE_INPUT!O46,MAX(0,100-MIN(100,CASE_INPUT!J46*1.5)))</f>
        <v>100</v>
      </c>
      <c r="J45" s="21" t="s">
        <v>231</v>
      </c>
    </row>
    <row r="46" ht="15.75" customHeight="1">
      <c r="A46" s="21" t="str">
        <f>CASE_INPUT!A47</f>
        <v/>
      </c>
      <c r="B46" s="21" t="str">
        <f>CASE_INPUT!B47</f>
        <v/>
      </c>
      <c r="C46" s="21" t="str">
        <f>CASE_INPUT!C47</f>
        <v/>
      </c>
      <c r="D46" s="21" t="str">
        <f>CASE_INPUT!D47</f>
        <v/>
      </c>
      <c r="E46" s="21">
        <f>IF(CASE_INPUT!K47&lt;&gt;"",CASE_INPUT!K47,MAX(0,100-MIN(100,CASE_INPUT!F47/20)))</f>
        <v>100</v>
      </c>
      <c r="F46" s="21">
        <f>IF(CASE_INPUT!L47&lt;&gt;"",CASE_INPUT!L47,MAX(0,100-MIN(100,CASE_INPUT!H47*1.2)))</f>
        <v>100</v>
      </c>
      <c r="G46" s="21">
        <f>IF(CASE_INPUT!M47&lt;&gt;"",CASE_INPUT!M47,MAX(0,100-CASE_INPUT!G47))</f>
        <v>100</v>
      </c>
      <c r="H46" s="21">
        <f>IF(CASE_INPUT!N47&lt;&gt;"",CASE_INPUT!N47,MAX(0,100-CASE_INPUT!I47))</f>
        <v>100</v>
      </c>
      <c r="I46" s="21">
        <f>IF(CASE_INPUT!O47&lt;&gt;"",CASE_INPUT!O47,MAX(0,100-MIN(100,CASE_INPUT!J47*1.5)))</f>
        <v>100</v>
      </c>
      <c r="J46" s="21" t="s">
        <v>231</v>
      </c>
    </row>
    <row r="47" ht="15.75" customHeight="1">
      <c r="A47" s="21" t="str">
        <f>CASE_INPUT!A48</f>
        <v/>
      </c>
      <c r="B47" s="21" t="str">
        <f>CASE_INPUT!B48</f>
        <v/>
      </c>
      <c r="C47" s="21" t="str">
        <f>CASE_INPUT!C48</f>
        <v/>
      </c>
      <c r="D47" s="21" t="str">
        <f>CASE_INPUT!D48</f>
        <v/>
      </c>
      <c r="E47" s="21">
        <f>IF(CASE_INPUT!K48&lt;&gt;"",CASE_INPUT!K48,MAX(0,100-MIN(100,CASE_INPUT!F48/20)))</f>
        <v>100</v>
      </c>
      <c r="F47" s="21">
        <f>IF(CASE_INPUT!L48&lt;&gt;"",CASE_INPUT!L48,MAX(0,100-MIN(100,CASE_INPUT!H48*1.2)))</f>
        <v>100</v>
      </c>
      <c r="G47" s="21">
        <f>IF(CASE_INPUT!M48&lt;&gt;"",CASE_INPUT!M48,MAX(0,100-CASE_INPUT!G48))</f>
        <v>100</v>
      </c>
      <c r="H47" s="21">
        <f>IF(CASE_INPUT!N48&lt;&gt;"",CASE_INPUT!N48,MAX(0,100-CASE_INPUT!I48))</f>
        <v>100</v>
      </c>
      <c r="I47" s="21">
        <f>IF(CASE_INPUT!O48&lt;&gt;"",CASE_INPUT!O48,MAX(0,100-MIN(100,CASE_INPUT!J48*1.5)))</f>
        <v>100</v>
      </c>
      <c r="J47" s="21" t="s">
        <v>231</v>
      </c>
    </row>
    <row r="48" ht="15.75" customHeight="1">
      <c r="A48" s="21" t="str">
        <f>CASE_INPUT!A49</f>
        <v/>
      </c>
      <c r="B48" s="21" t="str">
        <f>CASE_INPUT!B49</f>
        <v/>
      </c>
      <c r="C48" s="21" t="str">
        <f>CASE_INPUT!C49</f>
        <v/>
      </c>
      <c r="D48" s="21" t="str">
        <f>CASE_INPUT!D49</f>
        <v/>
      </c>
      <c r="E48" s="21">
        <f>IF(CASE_INPUT!K49&lt;&gt;"",CASE_INPUT!K49,MAX(0,100-MIN(100,CASE_INPUT!F49/20)))</f>
        <v>100</v>
      </c>
      <c r="F48" s="21">
        <f>IF(CASE_INPUT!L49&lt;&gt;"",CASE_INPUT!L49,MAX(0,100-MIN(100,CASE_INPUT!H49*1.2)))</f>
        <v>100</v>
      </c>
      <c r="G48" s="21">
        <f>IF(CASE_INPUT!M49&lt;&gt;"",CASE_INPUT!M49,MAX(0,100-CASE_INPUT!G49))</f>
        <v>100</v>
      </c>
      <c r="H48" s="21">
        <f>IF(CASE_INPUT!N49&lt;&gt;"",CASE_INPUT!N49,MAX(0,100-CASE_INPUT!I49))</f>
        <v>100</v>
      </c>
      <c r="I48" s="21">
        <f>IF(CASE_INPUT!O49&lt;&gt;"",CASE_INPUT!O49,MAX(0,100-MIN(100,CASE_INPUT!J49*1.5)))</f>
        <v>100</v>
      </c>
      <c r="J48" s="21" t="s">
        <v>231</v>
      </c>
    </row>
    <row r="49" ht="15.75" customHeight="1">
      <c r="A49" s="21" t="str">
        <f>CASE_INPUT!A50</f>
        <v/>
      </c>
      <c r="B49" s="21" t="str">
        <f>CASE_INPUT!B50</f>
        <v/>
      </c>
      <c r="C49" s="21" t="str">
        <f>CASE_INPUT!C50</f>
        <v/>
      </c>
      <c r="D49" s="21" t="str">
        <f>CASE_INPUT!D50</f>
        <v/>
      </c>
      <c r="E49" s="21">
        <f>IF(CASE_INPUT!K50&lt;&gt;"",CASE_INPUT!K50,MAX(0,100-MIN(100,CASE_INPUT!F50/20)))</f>
        <v>100</v>
      </c>
      <c r="F49" s="21">
        <f>IF(CASE_INPUT!L50&lt;&gt;"",CASE_INPUT!L50,MAX(0,100-MIN(100,CASE_INPUT!H50*1.2)))</f>
        <v>100</v>
      </c>
      <c r="G49" s="21">
        <f>IF(CASE_INPUT!M50&lt;&gt;"",CASE_INPUT!M50,MAX(0,100-CASE_INPUT!G50))</f>
        <v>100</v>
      </c>
      <c r="H49" s="21">
        <f>IF(CASE_INPUT!N50&lt;&gt;"",CASE_INPUT!N50,MAX(0,100-CASE_INPUT!I50))</f>
        <v>100</v>
      </c>
      <c r="I49" s="21">
        <f>IF(CASE_INPUT!O50&lt;&gt;"",CASE_INPUT!O50,MAX(0,100-MIN(100,CASE_INPUT!J50*1.5)))</f>
        <v>100</v>
      </c>
      <c r="J49" s="21" t="s">
        <v>231</v>
      </c>
    </row>
    <row r="50" ht="15.75" customHeight="1">
      <c r="A50" s="21" t="str">
        <f>CASE_INPUT!A51</f>
        <v/>
      </c>
      <c r="B50" s="21" t="str">
        <f>CASE_INPUT!B51</f>
        <v/>
      </c>
      <c r="C50" s="21" t="str">
        <f>CASE_INPUT!C51</f>
        <v/>
      </c>
      <c r="D50" s="21" t="str">
        <f>CASE_INPUT!D51</f>
        <v/>
      </c>
      <c r="E50" s="21">
        <f>IF(CASE_INPUT!K51&lt;&gt;"",CASE_INPUT!K51,MAX(0,100-MIN(100,CASE_INPUT!F51/20)))</f>
        <v>100</v>
      </c>
      <c r="F50" s="21">
        <f>IF(CASE_INPUT!L51&lt;&gt;"",CASE_INPUT!L51,MAX(0,100-MIN(100,CASE_INPUT!H51*1.2)))</f>
        <v>100</v>
      </c>
      <c r="G50" s="21">
        <f>IF(CASE_INPUT!M51&lt;&gt;"",CASE_INPUT!M51,MAX(0,100-CASE_INPUT!G51))</f>
        <v>100</v>
      </c>
      <c r="H50" s="21">
        <f>IF(CASE_INPUT!N51&lt;&gt;"",CASE_INPUT!N51,MAX(0,100-CASE_INPUT!I51))</f>
        <v>100</v>
      </c>
      <c r="I50" s="21">
        <f>IF(CASE_INPUT!O51&lt;&gt;"",CASE_INPUT!O51,MAX(0,100-MIN(100,CASE_INPUT!J51*1.5)))</f>
        <v>100</v>
      </c>
      <c r="J50" s="21" t="s">
        <v>231</v>
      </c>
    </row>
    <row r="51" ht="15.75" customHeight="1">
      <c r="A51" s="21" t="str">
        <f>CASE_INPUT!A52</f>
        <v/>
      </c>
      <c r="B51" s="21" t="str">
        <f>CASE_INPUT!B52</f>
        <v/>
      </c>
      <c r="C51" s="21" t="str">
        <f>CASE_INPUT!C52</f>
        <v/>
      </c>
      <c r="D51" s="21" t="str">
        <f>CASE_INPUT!D52</f>
        <v/>
      </c>
      <c r="E51" s="21">
        <f>IF(CASE_INPUT!K52&lt;&gt;"",CASE_INPUT!K52,MAX(0,100-MIN(100,CASE_INPUT!F52/20)))</f>
        <v>100</v>
      </c>
      <c r="F51" s="21">
        <f>IF(CASE_INPUT!L52&lt;&gt;"",CASE_INPUT!L52,MAX(0,100-MIN(100,CASE_INPUT!H52*1.2)))</f>
        <v>100</v>
      </c>
      <c r="G51" s="21">
        <f>IF(CASE_INPUT!M52&lt;&gt;"",CASE_INPUT!M52,MAX(0,100-CASE_INPUT!G52))</f>
        <v>100</v>
      </c>
      <c r="H51" s="21">
        <f>IF(CASE_INPUT!N52&lt;&gt;"",CASE_INPUT!N52,MAX(0,100-CASE_INPUT!I52))</f>
        <v>100</v>
      </c>
      <c r="I51" s="21">
        <f>IF(CASE_INPUT!O52&lt;&gt;"",CASE_INPUT!O52,MAX(0,100-MIN(100,CASE_INPUT!J52*1.5)))</f>
        <v>100</v>
      </c>
      <c r="J51" s="21" t="s">
        <v>231</v>
      </c>
    </row>
    <row r="52" ht="15.75" customHeight="1">
      <c r="A52" s="21" t="str">
        <f>CASE_INPUT!A53</f>
        <v/>
      </c>
      <c r="B52" s="21" t="str">
        <f>CASE_INPUT!B53</f>
        <v/>
      </c>
      <c r="C52" s="21" t="str">
        <f>CASE_INPUT!C53</f>
        <v/>
      </c>
      <c r="D52" s="21" t="str">
        <f>CASE_INPUT!D53</f>
        <v/>
      </c>
      <c r="E52" s="21">
        <f>IF(CASE_INPUT!K53&lt;&gt;"",CASE_INPUT!K53,MAX(0,100-MIN(100,CASE_INPUT!F53/20)))</f>
        <v>100</v>
      </c>
      <c r="F52" s="21">
        <f>IF(CASE_INPUT!L53&lt;&gt;"",CASE_INPUT!L53,MAX(0,100-MIN(100,CASE_INPUT!H53*1.2)))</f>
        <v>100</v>
      </c>
      <c r="G52" s="21">
        <f>IF(CASE_INPUT!M53&lt;&gt;"",CASE_INPUT!M53,MAX(0,100-CASE_INPUT!G53))</f>
        <v>100</v>
      </c>
      <c r="H52" s="21">
        <f>IF(CASE_INPUT!N53&lt;&gt;"",CASE_INPUT!N53,MAX(0,100-CASE_INPUT!I53))</f>
        <v>100</v>
      </c>
      <c r="I52" s="21">
        <f>IF(CASE_INPUT!O53&lt;&gt;"",CASE_INPUT!O53,MAX(0,100-MIN(100,CASE_INPUT!J53*1.5)))</f>
        <v>100</v>
      </c>
      <c r="J52" s="21" t="s">
        <v>231</v>
      </c>
    </row>
    <row r="53" ht="15.75" customHeight="1">
      <c r="A53" s="21" t="str">
        <f>CASE_INPUT!A54</f>
        <v/>
      </c>
      <c r="B53" s="21" t="str">
        <f>CASE_INPUT!B54</f>
        <v/>
      </c>
      <c r="C53" s="21" t="str">
        <f>CASE_INPUT!C54</f>
        <v/>
      </c>
      <c r="D53" s="21" t="str">
        <f>CASE_INPUT!D54</f>
        <v/>
      </c>
      <c r="E53" s="21">
        <f>IF(CASE_INPUT!K54&lt;&gt;"",CASE_INPUT!K54,MAX(0,100-MIN(100,CASE_INPUT!F54/20)))</f>
        <v>100</v>
      </c>
      <c r="F53" s="21">
        <f>IF(CASE_INPUT!L54&lt;&gt;"",CASE_INPUT!L54,MAX(0,100-MIN(100,CASE_INPUT!H54*1.2)))</f>
        <v>100</v>
      </c>
      <c r="G53" s="21">
        <f>IF(CASE_INPUT!M54&lt;&gt;"",CASE_INPUT!M54,MAX(0,100-CASE_INPUT!G54))</f>
        <v>100</v>
      </c>
      <c r="H53" s="21">
        <f>IF(CASE_INPUT!N54&lt;&gt;"",CASE_INPUT!N54,MAX(0,100-CASE_INPUT!I54))</f>
        <v>100</v>
      </c>
      <c r="I53" s="21">
        <f>IF(CASE_INPUT!O54&lt;&gt;"",CASE_INPUT!O54,MAX(0,100-MIN(100,CASE_INPUT!J54*1.5)))</f>
        <v>100</v>
      </c>
      <c r="J53" s="21" t="s">
        <v>231</v>
      </c>
    </row>
    <row r="54" ht="15.75" customHeight="1">
      <c r="A54" s="21" t="str">
        <f>CASE_INPUT!A55</f>
        <v/>
      </c>
      <c r="B54" s="21" t="str">
        <f>CASE_INPUT!B55</f>
        <v/>
      </c>
      <c r="C54" s="21" t="str">
        <f>CASE_INPUT!C55</f>
        <v/>
      </c>
      <c r="D54" s="21" t="str">
        <f>CASE_INPUT!D55</f>
        <v/>
      </c>
      <c r="E54" s="21">
        <f>IF(CASE_INPUT!K55&lt;&gt;"",CASE_INPUT!K55,MAX(0,100-MIN(100,CASE_INPUT!F55/20)))</f>
        <v>100</v>
      </c>
      <c r="F54" s="21">
        <f>IF(CASE_INPUT!L55&lt;&gt;"",CASE_INPUT!L55,MAX(0,100-MIN(100,CASE_INPUT!H55*1.2)))</f>
        <v>100</v>
      </c>
      <c r="G54" s="21">
        <f>IF(CASE_INPUT!M55&lt;&gt;"",CASE_INPUT!M55,MAX(0,100-CASE_INPUT!G55))</f>
        <v>100</v>
      </c>
      <c r="H54" s="21">
        <f>IF(CASE_INPUT!N55&lt;&gt;"",CASE_INPUT!N55,MAX(0,100-CASE_INPUT!I55))</f>
        <v>100</v>
      </c>
      <c r="I54" s="21">
        <f>IF(CASE_INPUT!O55&lt;&gt;"",CASE_INPUT!O55,MAX(0,100-MIN(100,CASE_INPUT!J55*1.5)))</f>
        <v>100</v>
      </c>
      <c r="J54" s="21" t="s">
        <v>231</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AD22A71-9F16-4BA0-BA3F-10377EF99D85}" filter="1" showAutoFilter="1">
      <autoFilter ref="$A$4:$J$54"/>
    </customSheetView>
  </customSheetViews>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12.0"/>
    <col customWidth="1" min="3" max="3" width="14.0"/>
    <col customWidth="1" min="4" max="4" width="28.0"/>
    <col customWidth="1" min="5" max="9" width="6.0"/>
    <col customWidth="1" min="10" max="10" width="10.0"/>
    <col customWidth="1" min="11" max="11" width="14.0"/>
    <col customWidth="1" min="12" max="26" width="8.71"/>
  </cols>
  <sheetData>
    <row r="1">
      <c r="A1" s="18" t="s">
        <v>232</v>
      </c>
    </row>
    <row r="4">
      <c r="A4" s="20" t="s">
        <v>159</v>
      </c>
      <c r="B4" s="20" t="s">
        <v>160</v>
      </c>
      <c r="C4" s="20" t="s">
        <v>161</v>
      </c>
      <c r="D4" s="20" t="s">
        <v>162</v>
      </c>
      <c r="E4" s="20" t="s">
        <v>226</v>
      </c>
      <c r="F4" s="20" t="s">
        <v>227</v>
      </c>
      <c r="G4" s="20" t="s">
        <v>211</v>
      </c>
      <c r="H4" s="20" t="s">
        <v>228</v>
      </c>
      <c r="I4" s="20" t="s">
        <v>229</v>
      </c>
      <c r="J4" s="20" t="s">
        <v>122</v>
      </c>
      <c r="K4" s="20" t="s">
        <v>233</v>
      </c>
    </row>
    <row r="5">
      <c r="A5" s="21" t="str">
        <f>LAYER_SCORES!A5</f>
        <v>EU-2015</v>
      </c>
      <c r="B5" s="22">
        <f>LAYER_SCORES!B5</f>
        <v>42248</v>
      </c>
      <c r="C5" s="21" t="str">
        <f>LAYER_SCORES!C5</f>
        <v>EU</v>
      </c>
      <c r="D5" s="21" t="str">
        <f>LAYER_SCORES!D5</f>
        <v>Migration crisis (synthetic)</v>
      </c>
      <c r="E5" s="21">
        <f>LAYER_SCORES!E5</f>
        <v>40</v>
      </c>
      <c r="F5" s="21">
        <f>LAYER_SCORES!F5</f>
        <v>34</v>
      </c>
      <c r="G5" s="21">
        <f>LAYER_SCORES!G5</f>
        <v>22</v>
      </c>
      <c r="H5" s="21">
        <f>LAYER_SCORES!H5</f>
        <v>28</v>
      </c>
      <c r="I5" s="21">
        <f>LAYER_SCORES!I5</f>
        <v>32.5</v>
      </c>
      <c r="J5" s="21" t="str">
        <f>IF(A5="","",SUMPRODUCT(PARAMETERS!$C$5:$C$9,E5:I5))</f>
        <v>#VALUE!</v>
      </c>
      <c r="K5" s="21"/>
    </row>
    <row r="6">
      <c r="A6" s="21" t="str">
        <f>LAYER_SCORES!A6</f>
        <v>EU-2023</v>
      </c>
      <c r="B6" s="22">
        <f>LAYER_SCORES!B6</f>
        <v>45200</v>
      </c>
      <c r="C6" s="21" t="str">
        <f>LAYER_SCORES!C6</f>
        <v>EU</v>
      </c>
      <c r="D6" s="21" t="str">
        <f>LAYER_SCORES!D6</f>
        <v>Migration pressure (synthetic)</v>
      </c>
      <c r="E6" s="21">
        <f>LAYER_SCORES!E6</f>
        <v>67.5</v>
      </c>
      <c r="F6" s="21">
        <f>LAYER_SCORES!F6</f>
        <v>4</v>
      </c>
      <c r="G6" s="21">
        <f>LAYER_SCORES!G6</f>
        <v>38</v>
      </c>
      <c r="H6" s="21">
        <f>LAYER_SCORES!H6</f>
        <v>32</v>
      </c>
      <c r="I6" s="21">
        <f>LAYER_SCORES!I6</f>
        <v>47.5</v>
      </c>
      <c r="J6" s="21" t="str">
        <f>IF(A6="","",SUMPRODUCT(PARAMETERS!$C$5:$C$9,E6:I6))</f>
        <v>#VALUE!</v>
      </c>
      <c r="K6" s="21" t="str">
        <f t="shared" ref="K6:K54" si="1">IF(A6="","",J6-J5)</f>
        <v>#VALUE!</v>
      </c>
    </row>
    <row r="7">
      <c r="A7" s="21" t="str">
        <f>LAYER_SCORES!A7</f>
        <v>SG-TRI-2026Q4</v>
      </c>
      <c r="B7" s="22">
        <f>LAYER_SCORES!B7</f>
        <v>46357</v>
      </c>
      <c r="C7" s="21" t="str">
        <f>LAYER_SCORES!C7</f>
        <v>SG/TW/EE</v>
      </c>
      <c r="D7" s="21" t="str">
        <f>LAYER_SCORES!D7</f>
        <v>Tri-nation pilot baseline</v>
      </c>
      <c r="E7" s="21">
        <f>LAYER_SCORES!E7</f>
        <v>99.4</v>
      </c>
      <c r="F7" s="21">
        <f>LAYER_SCORES!F7</f>
        <v>82</v>
      </c>
      <c r="G7" s="21">
        <f>LAYER_SCORES!G7</f>
        <v>75</v>
      </c>
      <c r="H7" s="21">
        <f>LAYER_SCORES!H7</f>
        <v>72</v>
      </c>
      <c r="I7" s="21">
        <f>LAYER_SCORES!I7</f>
        <v>85</v>
      </c>
      <c r="J7" s="21" t="str">
        <f>IF(A7="","",SUMPRODUCT(PARAMETERS!$C$5:$C$9,E7:I7))</f>
        <v>#VALUE!</v>
      </c>
      <c r="K7" s="21" t="str">
        <f t="shared" si="1"/>
        <v>#VALUE!</v>
      </c>
    </row>
    <row r="8">
      <c r="A8" s="21" t="str">
        <f>LAYER_SCORES!A8</f>
        <v/>
      </c>
      <c r="B8" s="21" t="str">
        <f>LAYER_SCORES!B8</f>
        <v/>
      </c>
      <c r="C8" s="21" t="str">
        <f>LAYER_SCORES!C8</f>
        <v/>
      </c>
      <c r="D8" s="21" t="str">
        <f>LAYER_SCORES!D8</f>
        <v/>
      </c>
      <c r="E8" s="21">
        <f>LAYER_SCORES!E8</f>
        <v>100</v>
      </c>
      <c r="F8" s="21">
        <f>LAYER_SCORES!F8</f>
        <v>100</v>
      </c>
      <c r="G8" s="21">
        <f>LAYER_SCORES!G8</f>
        <v>100</v>
      </c>
      <c r="H8" s="21">
        <f>LAYER_SCORES!H8</f>
        <v>100</v>
      </c>
      <c r="I8" s="21">
        <f>LAYER_SCORES!I8</f>
        <v>100</v>
      </c>
      <c r="J8" s="21" t="str">
        <f>IF(A8="","",SUMPRODUCT(PARAMETERS!$C$5:$C$9,E8:I8))</f>
        <v/>
      </c>
      <c r="K8" s="21" t="str">
        <f t="shared" si="1"/>
        <v/>
      </c>
    </row>
    <row r="9">
      <c r="A9" s="21" t="str">
        <f>LAYER_SCORES!A9</f>
        <v/>
      </c>
      <c r="B9" s="21" t="str">
        <f>LAYER_SCORES!B9</f>
        <v/>
      </c>
      <c r="C9" s="21" t="str">
        <f>LAYER_SCORES!C9</f>
        <v/>
      </c>
      <c r="D9" s="21" t="str">
        <f>LAYER_SCORES!D9</f>
        <v/>
      </c>
      <c r="E9" s="21">
        <f>LAYER_SCORES!E9</f>
        <v>100</v>
      </c>
      <c r="F9" s="21">
        <f>LAYER_SCORES!F9</f>
        <v>100</v>
      </c>
      <c r="G9" s="21">
        <f>LAYER_SCORES!G9</f>
        <v>100</v>
      </c>
      <c r="H9" s="21">
        <f>LAYER_SCORES!H9</f>
        <v>100</v>
      </c>
      <c r="I9" s="21">
        <f>LAYER_SCORES!I9</f>
        <v>100</v>
      </c>
      <c r="J9" s="21" t="str">
        <f>IF(A9="","",SUMPRODUCT(PARAMETERS!$C$5:$C$9,E9:I9))</f>
        <v/>
      </c>
      <c r="K9" s="21" t="str">
        <f t="shared" si="1"/>
        <v/>
      </c>
    </row>
    <row r="10">
      <c r="A10" s="21" t="str">
        <f>LAYER_SCORES!A10</f>
        <v/>
      </c>
      <c r="B10" s="21" t="str">
        <f>LAYER_SCORES!B10</f>
        <v/>
      </c>
      <c r="C10" s="21" t="str">
        <f>LAYER_SCORES!C10</f>
        <v/>
      </c>
      <c r="D10" s="21" t="str">
        <f>LAYER_SCORES!D10</f>
        <v/>
      </c>
      <c r="E10" s="21">
        <f>LAYER_SCORES!E10</f>
        <v>100</v>
      </c>
      <c r="F10" s="21">
        <f>LAYER_SCORES!F10</f>
        <v>100</v>
      </c>
      <c r="G10" s="21">
        <f>LAYER_SCORES!G10</f>
        <v>100</v>
      </c>
      <c r="H10" s="21">
        <f>LAYER_SCORES!H10</f>
        <v>100</v>
      </c>
      <c r="I10" s="21">
        <f>LAYER_SCORES!I10</f>
        <v>100</v>
      </c>
      <c r="J10" s="21" t="str">
        <f>IF(A10="","",SUMPRODUCT(PARAMETERS!$C$5:$C$9,E10:I10))</f>
        <v/>
      </c>
      <c r="K10" s="21" t="str">
        <f t="shared" si="1"/>
        <v/>
      </c>
    </row>
    <row r="11">
      <c r="A11" s="21" t="str">
        <f>LAYER_SCORES!A11</f>
        <v/>
      </c>
      <c r="B11" s="21" t="str">
        <f>LAYER_SCORES!B11</f>
        <v/>
      </c>
      <c r="C11" s="21" t="str">
        <f>LAYER_SCORES!C11</f>
        <v/>
      </c>
      <c r="D11" s="21" t="str">
        <f>LAYER_SCORES!D11</f>
        <v/>
      </c>
      <c r="E11" s="21">
        <f>LAYER_SCORES!E11</f>
        <v>100</v>
      </c>
      <c r="F11" s="21">
        <f>LAYER_SCORES!F11</f>
        <v>100</v>
      </c>
      <c r="G11" s="21">
        <f>LAYER_SCORES!G11</f>
        <v>100</v>
      </c>
      <c r="H11" s="21">
        <f>LAYER_SCORES!H11</f>
        <v>100</v>
      </c>
      <c r="I11" s="21">
        <f>LAYER_SCORES!I11</f>
        <v>100</v>
      </c>
      <c r="J11" s="21" t="str">
        <f>IF(A11="","",SUMPRODUCT(PARAMETERS!$C$5:$C$9,E11:I11))</f>
        <v/>
      </c>
      <c r="K11" s="21" t="str">
        <f t="shared" si="1"/>
        <v/>
      </c>
    </row>
    <row r="12">
      <c r="A12" s="21" t="str">
        <f>LAYER_SCORES!A12</f>
        <v/>
      </c>
      <c r="B12" s="21" t="str">
        <f>LAYER_SCORES!B12</f>
        <v/>
      </c>
      <c r="C12" s="21" t="str">
        <f>LAYER_SCORES!C12</f>
        <v/>
      </c>
      <c r="D12" s="21" t="str">
        <f>LAYER_SCORES!D12</f>
        <v/>
      </c>
      <c r="E12" s="21">
        <f>LAYER_SCORES!E12</f>
        <v>100</v>
      </c>
      <c r="F12" s="21">
        <f>LAYER_SCORES!F12</f>
        <v>100</v>
      </c>
      <c r="G12" s="21">
        <f>LAYER_SCORES!G12</f>
        <v>100</v>
      </c>
      <c r="H12" s="21">
        <f>LAYER_SCORES!H12</f>
        <v>100</v>
      </c>
      <c r="I12" s="21">
        <f>LAYER_SCORES!I12</f>
        <v>100</v>
      </c>
      <c r="J12" s="21" t="str">
        <f>IF(A12="","",SUMPRODUCT(PARAMETERS!$C$5:$C$9,E12:I12))</f>
        <v/>
      </c>
      <c r="K12" s="21" t="str">
        <f t="shared" si="1"/>
        <v/>
      </c>
    </row>
    <row r="13">
      <c r="A13" s="21" t="str">
        <f>LAYER_SCORES!A13</f>
        <v/>
      </c>
      <c r="B13" s="21" t="str">
        <f>LAYER_SCORES!B13</f>
        <v/>
      </c>
      <c r="C13" s="21" t="str">
        <f>LAYER_SCORES!C13</f>
        <v/>
      </c>
      <c r="D13" s="21" t="str">
        <f>LAYER_SCORES!D13</f>
        <v/>
      </c>
      <c r="E13" s="21">
        <f>LAYER_SCORES!E13</f>
        <v>100</v>
      </c>
      <c r="F13" s="21">
        <f>LAYER_SCORES!F13</f>
        <v>100</v>
      </c>
      <c r="G13" s="21">
        <f>LAYER_SCORES!G13</f>
        <v>100</v>
      </c>
      <c r="H13" s="21">
        <f>LAYER_SCORES!H13</f>
        <v>100</v>
      </c>
      <c r="I13" s="21">
        <f>LAYER_SCORES!I13</f>
        <v>100</v>
      </c>
      <c r="J13" s="21" t="str">
        <f>IF(A13="","",SUMPRODUCT(PARAMETERS!$C$5:$C$9,E13:I13))</f>
        <v/>
      </c>
      <c r="K13" s="21" t="str">
        <f t="shared" si="1"/>
        <v/>
      </c>
    </row>
    <row r="14">
      <c r="A14" s="21" t="str">
        <f>LAYER_SCORES!A14</f>
        <v/>
      </c>
      <c r="B14" s="21" t="str">
        <f>LAYER_SCORES!B14</f>
        <v/>
      </c>
      <c r="C14" s="21" t="str">
        <f>LAYER_SCORES!C14</f>
        <v/>
      </c>
      <c r="D14" s="21" t="str">
        <f>LAYER_SCORES!D14</f>
        <v/>
      </c>
      <c r="E14" s="21">
        <f>LAYER_SCORES!E14</f>
        <v>100</v>
      </c>
      <c r="F14" s="21">
        <f>LAYER_SCORES!F14</f>
        <v>100</v>
      </c>
      <c r="G14" s="21">
        <f>LAYER_SCORES!G14</f>
        <v>100</v>
      </c>
      <c r="H14" s="21">
        <f>LAYER_SCORES!H14</f>
        <v>100</v>
      </c>
      <c r="I14" s="21">
        <f>LAYER_SCORES!I14</f>
        <v>100</v>
      </c>
      <c r="J14" s="21" t="str">
        <f>IF(A14="","",SUMPRODUCT(PARAMETERS!$C$5:$C$9,E14:I14))</f>
        <v/>
      </c>
      <c r="K14" s="21" t="str">
        <f t="shared" si="1"/>
        <v/>
      </c>
    </row>
    <row r="15">
      <c r="A15" s="21" t="str">
        <f>LAYER_SCORES!A15</f>
        <v/>
      </c>
      <c r="B15" s="21" t="str">
        <f>LAYER_SCORES!B15</f>
        <v/>
      </c>
      <c r="C15" s="21" t="str">
        <f>LAYER_SCORES!C15</f>
        <v/>
      </c>
      <c r="D15" s="21" t="str">
        <f>LAYER_SCORES!D15</f>
        <v/>
      </c>
      <c r="E15" s="21">
        <f>LAYER_SCORES!E15</f>
        <v>100</v>
      </c>
      <c r="F15" s="21">
        <f>LAYER_SCORES!F15</f>
        <v>100</v>
      </c>
      <c r="G15" s="21">
        <f>LAYER_SCORES!G15</f>
        <v>100</v>
      </c>
      <c r="H15" s="21">
        <f>LAYER_SCORES!H15</f>
        <v>100</v>
      </c>
      <c r="I15" s="21">
        <f>LAYER_SCORES!I15</f>
        <v>100</v>
      </c>
      <c r="J15" s="21" t="str">
        <f>IF(A15="","",SUMPRODUCT(PARAMETERS!$C$5:$C$9,E15:I15))</f>
        <v/>
      </c>
      <c r="K15" s="21" t="str">
        <f t="shared" si="1"/>
        <v/>
      </c>
    </row>
    <row r="16">
      <c r="A16" s="21" t="str">
        <f>LAYER_SCORES!A16</f>
        <v/>
      </c>
      <c r="B16" s="21" t="str">
        <f>LAYER_SCORES!B16</f>
        <v/>
      </c>
      <c r="C16" s="21" t="str">
        <f>LAYER_SCORES!C16</f>
        <v/>
      </c>
      <c r="D16" s="21" t="str">
        <f>LAYER_SCORES!D16</f>
        <v/>
      </c>
      <c r="E16" s="21">
        <f>LAYER_SCORES!E16</f>
        <v>100</v>
      </c>
      <c r="F16" s="21">
        <f>LAYER_SCORES!F16</f>
        <v>100</v>
      </c>
      <c r="G16" s="21">
        <f>LAYER_SCORES!G16</f>
        <v>100</v>
      </c>
      <c r="H16" s="21">
        <f>LAYER_SCORES!H16</f>
        <v>100</v>
      </c>
      <c r="I16" s="21">
        <f>LAYER_SCORES!I16</f>
        <v>100</v>
      </c>
      <c r="J16" s="21" t="str">
        <f>IF(A16="","",SUMPRODUCT(PARAMETERS!$C$5:$C$9,E16:I16))</f>
        <v/>
      </c>
      <c r="K16" s="21" t="str">
        <f t="shared" si="1"/>
        <v/>
      </c>
    </row>
    <row r="17">
      <c r="A17" s="21" t="str">
        <f>LAYER_SCORES!A17</f>
        <v/>
      </c>
      <c r="B17" s="21" t="str">
        <f>LAYER_SCORES!B17</f>
        <v/>
      </c>
      <c r="C17" s="21" t="str">
        <f>LAYER_SCORES!C17</f>
        <v/>
      </c>
      <c r="D17" s="21" t="str">
        <f>LAYER_SCORES!D17</f>
        <v/>
      </c>
      <c r="E17" s="21">
        <f>LAYER_SCORES!E17</f>
        <v>100</v>
      </c>
      <c r="F17" s="21">
        <f>LAYER_SCORES!F17</f>
        <v>100</v>
      </c>
      <c r="G17" s="21">
        <f>LAYER_SCORES!G17</f>
        <v>100</v>
      </c>
      <c r="H17" s="21">
        <f>LAYER_SCORES!H17</f>
        <v>100</v>
      </c>
      <c r="I17" s="21">
        <f>LAYER_SCORES!I17</f>
        <v>100</v>
      </c>
      <c r="J17" s="21" t="str">
        <f>IF(A17="","",SUMPRODUCT(PARAMETERS!$C$5:$C$9,E17:I17))</f>
        <v/>
      </c>
      <c r="K17" s="21" t="str">
        <f t="shared" si="1"/>
        <v/>
      </c>
    </row>
    <row r="18">
      <c r="A18" s="21" t="str">
        <f>LAYER_SCORES!A18</f>
        <v/>
      </c>
      <c r="B18" s="21" t="str">
        <f>LAYER_SCORES!B18</f>
        <v/>
      </c>
      <c r="C18" s="21" t="str">
        <f>LAYER_SCORES!C18</f>
        <v/>
      </c>
      <c r="D18" s="21" t="str">
        <f>LAYER_SCORES!D18</f>
        <v/>
      </c>
      <c r="E18" s="21">
        <f>LAYER_SCORES!E18</f>
        <v>100</v>
      </c>
      <c r="F18" s="21">
        <f>LAYER_SCORES!F18</f>
        <v>100</v>
      </c>
      <c r="G18" s="21">
        <f>LAYER_SCORES!G18</f>
        <v>100</v>
      </c>
      <c r="H18" s="21">
        <f>LAYER_SCORES!H18</f>
        <v>100</v>
      </c>
      <c r="I18" s="21">
        <f>LAYER_SCORES!I18</f>
        <v>100</v>
      </c>
      <c r="J18" s="21" t="str">
        <f>IF(A18="","",SUMPRODUCT(PARAMETERS!$C$5:$C$9,E18:I18))</f>
        <v/>
      </c>
      <c r="K18" s="21" t="str">
        <f t="shared" si="1"/>
        <v/>
      </c>
    </row>
    <row r="19">
      <c r="A19" s="21" t="str">
        <f>LAYER_SCORES!A19</f>
        <v/>
      </c>
      <c r="B19" s="21" t="str">
        <f>LAYER_SCORES!B19</f>
        <v/>
      </c>
      <c r="C19" s="21" t="str">
        <f>LAYER_SCORES!C19</f>
        <v/>
      </c>
      <c r="D19" s="21" t="str">
        <f>LAYER_SCORES!D19</f>
        <v/>
      </c>
      <c r="E19" s="21">
        <f>LAYER_SCORES!E19</f>
        <v>100</v>
      </c>
      <c r="F19" s="21">
        <f>LAYER_SCORES!F19</f>
        <v>100</v>
      </c>
      <c r="G19" s="21">
        <f>LAYER_SCORES!G19</f>
        <v>100</v>
      </c>
      <c r="H19" s="21">
        <f>LAYER_SCORES!H19</f>
        <v>100</v>
      </c>
      <c r="I19" s="21">
        <f>LAYER_SCORES!I19</f>
        <v>100</v>
      </c>
      <c r="J19" s="21" t="str">
        <f>IF(A19="","",SUMPRODUCT(PARAMETERS!$C$5:$C$9,E19:I19))</f>
        <v/>
      </c>
      <c r="K19" s="21" t="str">
        <f t="shared" si="1"/>
        <v/>
      </c>
    </row>
    <row r="20">
      <c r="A20" s="21" t="str">
        <f>LAYER_SCORES!A20</f>
        <v/>
      </c>
      <c r="B20" s="21" t="str">
        <f>LAYER_SCORES!B20</f>
        <v/>
      </c>
      <c r="C20" s="21" t="str">
        <f>LAYER_SCORES!C20</f>
        <v/>
      </c>
      <c r="D20" s="21" t="str">
        <f>LAYER_SCORES!D20</f>
        <v/>
      </c>
      <c r="E20" s="21">
        <f>LAYER_SCORES!E20</f>
        <v>100</v>
      </c>
      <c r="F20" s="21">
        <f>LAYER_SCORES!F20</f>
        <v>100</v>
      </c>
      <c r="G20" s="21">
        <f>LAYER_SCORES!G20</f>
        <v>100</v>
      </c>
      <c r="H20" s="21">
        <f>LAYER_SCORES!H20</f>
        <v>100</v>
      </c>
      <c r="I20" s="21">
        <f>LAYER_SCORES!I20</f>
        <v>100</v>
      </c>
      <c r="J20" s="21" t="str">
        <f>IF(A20="","",SUMPRODUCT(PARAMETERS!$C$5:$C$9,E20:I20))</f>
        <v/>
      </c>
      <c r="K20" s="21" t="str">
        <f t="shared" si="1"/>
        <v/>
      </c>
    </row>
    <row r="21" ht="15.75" customHeight="1">
      <c r="A21" s="21" t="str">
        <f>LAYER_SCORES!A21</f>
        <v/>
      </c>
      <c r="B21" s="21" t="str">
        <f>LAYER_SCORES!B21</f>
        <v/>
      </c>
      <c r="C21" s="21" t="str">
        <f>LAYER_SCORES!C21</f>
        <v/>
      </c>
      <c r="D21" s="21" t="str">
        <f>LAYER_SCORES!D21</f>
        <v/>
      </c>
      <c r="E21" s="21">
        <f>LAYER_SCORES!E21</f>
        <v>100</v>
      </c>
      <c r="F21" s="21">
        <f>LAYER_SCORES!F21</f>
        <v>100</v>
      </c>
      <c r="G21" s="21">
        <f>LAYER_SCORES!G21</f>
        <v>100</v>
      </c>
      <c r="H21" s="21">
        <f>LAYER_SCORES!H21</f>
        <v>100</v>
      </c>
      <c r="I21" s="21">
        <f>LAYER_SCORES!I21</f>
        <v>100</v>
      </c>
      <c r="J21" s="21" t="str">
        <f>IF(A21="","",SUMPRODUCT(PARAMETERS!$C$5:$C$9,E21:I21))</f>
        <v/>
      </c>
      <c r="K21" s="21" t="str">
        <f t="shared" si="1"/>
        <v/>
      </c>
    </row>
    <row r="22" ht="15.75" customHeight="1">
      <c r="A22" s="21" t="str">
        <f>LAYER_SCORES!A22</f>
        <v/>
      </c>
      <c r="B22" s="21" t="str">
        <f>LAYER_SCORES!B22</f>
        <v/>
      </c>
      <c r="C22" s="21" t="str">
        <f>LAYER_SCORES!C22</f>
        <v/>
      </c>
      <c r="D22" s="21" t="str">
        <f>LAYER_SCORES!D22</f>
        <v/>
      </c>
      <c r="E22" s="21">
        <f>LAYER_SCORES!E22</f>
        <v>100</v>
      </c>
      <c r="F22" s="21">
        <f>LAYER_SCORES!F22</f>
        <v>100</v>
      </c>
      <c r="G22" s="21">
        <f>LAYER_SCORES!G22</f>
        <v>100</v>
      </c>
      <c r="H22" s="21">
        <f>LAYER_SCORES!H22</f>
        <v>100</v>
      </c>
      <c r="I22" s="21">
        <f>LAYER_SCORES!I22</f>
        <v>100</v>
      </c>
      <c r="J22" s="21" t="str">
        <f>IF(A22="","",SUMPRODUCT(PARAMETERS!$C$5:$C$9,E22:I22))</f>
        <v/>
      </c>
      <c r="K22" s="21" t="str">
        <f t="shared" si="1"/>
        <v/>
      </c>
    </row>
    <row r="23" ht="15.75" customHeight="1">
      <c r="A23" s="21" t="str">
        <f>LAYER_SCORES!A23</f>
        <v/>
      </c>
      <c r="B23" s="21" t="str">
        <f>LAYER_SCORES!B23</f>
        <v/>
      </c>
      <c r="C23" s="21" t="str">
        <f>LAYER_SCORES!C23</f>
        <v/>
      </c>
      <c r="D23" s="21" t="str">
        <f>LAYER_SCORES!D23</f>
        <v/>
      </c>
      <c r="E23" s="21">
        <f>LAYER_SCORES!E23</f>
        <v>100</v>
      </c>
      <c r="F23" s="21">
        <f>LAYER_SCORES!F23</f>
        <v>100</v>
      </c>
      <c r="G23" s="21">
        <f>LAYER_SCORES!G23</f>
        <v>100</v>
      </c>
      <c r="H23" s="21">
        <f>LAYER_SCORES!H23</f>
        <v>100</v>
      </c>
      <c r="I23" s="21">
        <f>LAYER_SCORES!I23</f>
        <v>100</v>
      </c>
      <c r="J23" s="21" t="str">
        <f>IF(A23="","",SUMPRODUCT(PARAMETERS!$C$5:$C$9,E23:I23))</f>
        <v/>
      </c>
      <c r="K23" s="21" t="str">
        <f t="shared" si="1"/>
        <v/>
      </c>
    </row>
    <row r="24" ht="15.75" customHeight="1">
      <c r="A24" s="21" t="str">
        <f>LAYER_SCORES!A24</f>
        <v/>
      </c>
      <c r="B24" s="21" t="str">
        <f>LAYER_SCORES!B24</f>
        <v/>
      </c>
      <c r="C24" s="21" t="str">
        <f>LAYER_SCORES!C24</f>
        <v/>
      </c>
      <c r="D24" s="21" t="str">
        <f>LAYER_SCORES!D24</f>
        <v/>
      </c>
      <c r="E24" s="21">
        <f>LAYER_SCORES!E24</f>
        <v>100</v>
      </c>
      <c r="F24" s="21">
        <f>LAYER_SCORES!F24</f>
        <v>100</v>
      </c>
      <c r="G24" s="21">
        <f>LAYER_SCORES!G24</f>
        <v>100</v>
      </c>
      <c r="H24" s="21">
        <f>LAYER_SCORES!H24</f>
        <v>100</v>
      </c>
      <c r="I24" s="21">
        <f>LAYER_SCORES!I24</f>
        <v>100</v>
      </c>
      <c r="J24" s="21" t="str">
        <f>IF(A24="","",SUMPRODUCT(PARAMETERS!$C$5:$C$9,E24:I24))</f>
        <v/>
      </c>
      <c r="K24" s="21" t="str">
        <f t="shared" si="1"/>
        <v/>
      </c>
    </row>
    <row r="25" ht="15.75" customHeight="1">
      <c r="A25" s="21" t="str">
        <f>LAYER_SCORES!A25</f>
        <v/>
      </c>
      <c r="B25" s="21" t="str">
        <f>LAYER_SCORES!B25</f>
        <v/>
      </c>
      <c r="C25" s="21" t="str">
        <f>LAYER_SCORES!C25</f>
        <v/>
      </c>
      <c r="D25" s="21" t="str">
        <f>LAYER_SCORES!D25</f>
        <v/>
      </c>
      <c r="E25" s="21">
        <f>LAYER_SCORES!E25</f>
        <v>100</v>
      </c>
      <c r="F25" s="21">
        <f>LAYER_SCORES!F25</f>
        <v>100</v>
      </c>
      <c r="G25" s="21">
        <f>LAYER_SCORES!G25</f>
        <v>100</v>
      </c>
      <c r="H25" s="21">
        <f>LAYER_SCORES!H25</f>
        <v>100</v>
      </c>
      <c r="I25" s="21">
        <f>LAYER_SCORES!I25</f>
        <v>100</v>
      </c>
      <c r="J25" s="21" t="str">
        <f>IF(A25="","",SUMPRODUCT(PARAMETERS!$C$5:$C$9,E25:I25))</f>
        <v/>
      </c>
      <c r="K25" s="21" t="str">
        <f t="shared" si="1"/>
        <v/>
      </c>
    </row>
    <row r="26" ht="15.75" customHeight="1">
      <c r="A26" s="21" t="str">
        <f>LAYER_SCORES!A26</f>
        <v/>
      </c>
      <c r="B26" s="21" t="str">
        <f>LAYER_SCORES!B26</f>
        <v/>
      </c>
      <c r="C26" s="21" t="str">
        <f>LAYER_SCORES!C26</f>
        <v/>
      </c>
      <c r="D26" s="21" t="str">
        <f>LAYER_SCORES!D26</f>
        <v/>
      </c>
      <c r="E26" s="21">
        <f>LAYER_SCORES!E26</f>
        <v>100</v>
      </c>
      <c r="F26" s="21">
        <f>LAYER_SCORES!F26</f>
        <v>100</v>
      </c>
      <c r="G26" s="21">
        <f>LAYER_SCORES!G26</f>
        <v>100</v>
      </c>
      <c r="H26" s="21">
        <f>LAYER_SCORES!H26</f>
        <v>100</v>
      </c>
      <c r="I26" s="21">
        <f>LAYER_SCORES!I26</f>
        <v>100</v>
      </c>
      <c r="J26" s="21" t="str">
        <f>IF(A26="","",SUMPRODUCT(PARAMETERS!$C$5:$C$9,E26:I26))</f>
        <v/>
      </c>
      <c r="K26" s="21" t="str">
        <f t="shared" si="1"/>
        <v/>
      </c>
    </row>
    <row r="27" ht="15.75" customHeight="1">
      <c r="A27" s="21" t="str">
        <f>LAYER_SCORES!A27</f>
        <v/>
      </c>
      <c r="B27" s="21" t="str">
        <f>LAYER_SCORES!B27</f>
        <v/>
      </c>
      <c r="C27" s="21" t="str">
        <f>LAYER_SCORES!C27</f>
        <v/>
      </c>
      <c r="D27" s="21" t="str">
        <f>LAYER_SCORES!D27</f>
        <v/>
      </c>
      <c r="E27" s="21">
        <f>LAYER_SCORES!E27</f>
        <v>100</v>
      </c>
      <c r="F27" s="21">
        <f>LAYER_SCORES!F27</f>
        <v>100</v>
      </c>
      <c r="G27" s="21">
        <f>LAYER_SCORES!G27</f>
        <v>100</v>
      </c>
      <c r="H27" s="21">
        <f>LAYER_SCORES!H27</f>
        <v>100</v>
      </c>
      <c r="I27" s="21">
        <f>LAYER_SCORES!I27</f>
        <v>100</v>
      </c>
      <c r="J27" s="21" t="str">
        <f>IF(A27="","",SUMPRODUCT(PARAMETERS!$C$5:$C$9,E27:I27))</f>
        <v/>
      </c>
      <c r="K27" s="21" t="str">
        <f t="shared" si="1"/>
        <v/>
      </c>
    </row>
    <row r="28" ht="15.75" customHeight="1">
      <c r="A28" s="21" t="str">
        <f>LAYER_SCORES!A28</f>
        <v/>
      </c>
      <c r="B28" s="21" t="str">
        <f>LAYER_SCORES!B28</f>
        <v/>
      </c>
      <c r="C28" s="21" t="str">
        <f>LAYER_SCORES!C28</f>
        <v/>
      </c>
      <c r="D28" s="21" t="str">
        <f>LAYER_SCORES!D28</f>
        <v/>
      </c>
      <c r="E28" s="21">
        <f>LAYER_SCORES!E28</f>
        <v>100</v>
      </c>
      <c r="F28" s="21">
        <f>LAYER_SCORES!F28</f>
        <v>100</v>
      </c>
      <c r="G28" s="21">
        <f>LAYER_SCORES!G28</f>
        <v>100</v>
      </c>
      <c r="H28" s="21">
        <f>LAYER_SCORES!H28</f>
        <v>100</v>
      </c>
      <c r="I28" s="21">
        <f>LAYER_SCORES!I28</f>
        <v>100</v>
      </c>
      <c r="J28" s="21" t="str">
        <f>IF(A28="","",SUMPRODUCT(PARAMETERS!$C$5:$C$9,E28:I28))</f>
        <v/>
      </c>
      <c r="K28" s="21" t="str">
        <f t="shared" si="1"/>
        <v/>
      </c>
    </row>
    <row r="29" ht="15.75" customHeight="1">
      <c r="A29" s="21" t="str">
        <f>LAYER_SCORES!A29</f>
        <v/>
      </c>
      <c r="B29" s="21" t="str">
        <f>LAYER_SCORES!B29</f>
        <v/>
      </c>
      <c r="C29" s="21" t="str">
        <f>LAYER_SCORES!C29</f>
        <v/>
      </c>
      <c r="D29" s="21" t="str">
        <f>LAYER_SCORES!D29</f>
        <v/>
      </c>
      <c r="E29" s="21">
        <f>LAYER_SCORES!E29</f>
        <v>100</v>
      </c>
      <c r="F29" s="21">
        <f>LAYER_SCORES!F29</f>
        <v>100</v>
      </c>
      <c r="G29" s="21">
        <f>LAYER_SCORES!G29</f>
        <v>100</v>
      </c>
      <c r="H29" s="21">
        <f>LAYER_SCORES!H29</f>
        <v>100</v>
      </c>
      <c r="I29" s="21">
        <f>LAYER_SCORES!I29</f>
        <v>100</v>
      </c>
      <c r="J29" s="21" t="str">
        <f>IF(A29="","",SUMPRODUCT(PARAMETERS!$C$5:$C$9,E29:I29))</f>
        <v/>
      </c>
      <c r="K29" s="21" t="str">
        <f t="shared" si="1"/>
        <v/>
      </c>
    </row>
    <row r="30" ht="15.75" customHeight="1">
      <c r="A30" s="21" t="str">
        <f>LAYER_SCORES!A30</f>
        <v/>
      </c>
      <c r="B30" s="21" t="str">
        <f>LAYER_SCORES!B30</f>
        <v/>
      </c>
      <c r="C30" s="21" t="str">
        <f>LAYER_SCORES!C30</f>
        <v/>
      </c>
      <c r="D30" s="21" t="str">
        <f>LAYER_SCORES!D30</f>
        <v/>
      </c>
      <c r="E30" s="21">
        <f>LAYER_SCORES!E30</f>
        <v>100</v>
      </c>
      <c r="F30" s="21">
        <f>LAYER_SCORES!F30</f>
        <v>100</v>
      </c>
      <c r="G30" s="21">
        <f>LAYER_SCORES!G30</f>
        <v>100</v>
      </c>
      <c r="H30" s="21">
        <f>LAYER_SCORES!H30</f>
        <v>100</v>
      </c>
      <c r="I30" s="21">
        <f>LAYER_SCORES!I30</f>
        <v>100</v>
      </c>
      <c r="J30" s="21" t="str">
        <f>IF(A30="","",SUMPRODUCT(PARAMETERS!$C$5:$C$9,E30:I30))</f>
        <v/>
      </c>
      <c r="K30" s="21" t="str">
        <f t="shared" si="1"/>
        <v/>
      </c>
    </row>
    <row r="31" ht="15.75" customHeight="1">
      <c r="A31" s="21" t="str">
        <f>LAYER_SCORES!A31</f>
        <v/>
      </c>
      <c r="B31" s="21" t="str">
        <f>LAYER_SCORES!B31</f>
        <v/>
      </c>
      <c r="C31" s="21" t="str">
        <f>LAYER_SCORES!C31</f>
        <v/>
      </c>
      <c r="D31" s="21" t="str">
        <f>LAYER_SCORES!D31</f>
        <v/>
      </c>
      <c r="E31" s="21">
        <f>LAYER_SCORES!E31</f>
        <v>100</v>
      </c>
      <c r="F31" s="21">
        <f>LAYER_SCORES!F31</f>
        <v>100</v>
      </c>
      <c r="G31" s="21">
        <f>LAYER_SCORES!G31</f>
        <v>100</v>
      </c>
      <c r="H31" s="21">
        <f>LAYER_SCORES!H31</f>
        <v>100</v>
      </c>
      <c r="I31" s="21">
        <f>LAYER_SCORES!I31</f>
        <v>100</v>
      </c>
      <c r="J31" s="21" t="str">
        <f>IF(A31="","",SUMPRODUCT(PARAMETERS!$C$5:$C$9,E31:I31))</f>
        <v/>
      </c>
      <c r="K31" s="21" t="str">
        <f t="shared" si="1"/>
        <v/>
      </c>
    </row>
    <row r="32" ht="15.75" customHeight="1">
      <c r="A32" s="21" t="str">
        <f>LAYER_SCORES!A32</f>
        <v/>
      </c>
      <c r="B32" s="21" t="str">
        <f>LAYER_SCORES!B32</f>
        <v/>
      </c>
      <c r="C32" s="21" t="str">
        <f>LAYER_SCORES!C32</f>
        <v/>
      </c>
      <c r="D32" s="21" t="str">
        <f>LAYER_SCORES!D32</f>
        <v/>
      </c>
      <c r="E32" s="21">
        <f>LAYER_SCORES!E32</f>
        <v>100</v>
      </c>
      <c r="F32" s="21">
        <f>LAYER_SCORES!F32</f>
        <v>100</v>
      </c>
      <c r="G32" s="21">
        <f>LAYER_SCORES!G32</f>
        <v>100</v>
      </c>
      <c r="H32" s="21">
        <f>LAYER_SCORES!H32</f>
        <v>100</v>
      </c>
      <c r="I32" s="21">
        <f>LAYER_SCORES!I32</f>
        <v>100</v>
      </c>
      <c r="J32" s="21" t="str">
        <f>IF(A32="","",SUMPRODUCT(PARAMETERS!$C$5:$C$9,E32:I32))</f>
        <v/>
      </c>
      <c r="K32" s="21" t="str">
        <f t="shared" si="1"/>
        <v/>
      </c>
    </row>
    <row r="33" ht="15.75" customHeight="1">
      <c r="A33" s="21" t="str">
        <f>LAYER_SCORES!A33</f>
        <v/>
      </c>
      <c r="B33" s="21" t="str">
        <f>LAYER_SCORES!B33</f>
        <v/>
      </c>
      <c r="C33" s="21" t="str">
        <f>LAYER_SCORES!C33</f>
        <v/>
      </c>
      <c r="D33" s="21" t="str">
        <f>LAYER_SCORES!D33</f>
        <v/>
      </c>
      <c r="E33" s="21">
        <f>LAYER_SCORES!E33</f>
        <v>100</v>
      </c>
      <c r="F33" s="21">
        <f>LAYER_SCORES!F33</f>
        <v>100</v>
      </c>
      <c r="G33" s="21">
        <f>LAYER_SCORES!G33</f>
        <v>100</v>
      </c>
      <c r="H33" s="21">
        <f>LAYER_SCORES!H33</f>
        <v>100</v>
      </c>
      <c r="I33" s="21">
        <f>LAYER_SCORES!I33</f>
        <v>100</v>
      </c>
      <c r="J33" s="21" t="str">
        <f>IF(A33="","",SUMPRODUCT(PARAMETERS!$C$5:$C$9,E33:I33))</f>
        <v/>
      </c>
      <c r="K33" s="21" t="str">
        <f t="shared" si="1"/>
        <v/>
      </c>
    </row>
    <row r="34" ht="15.75" customHeight="1">
      <c r="A34" s="21" t="str">
        <f>LAYER_SCORES!A34</f>
        <v/>
      </c>
      <c r="B34" s="21" t="str">
        <f>LAYER_SCORES!B34</f>
        <v/>
      </c>
      <c r="C34" s="21" t="str">
        <f>LAYER_SCORES!C34</f>
        <v/>
      </c>
      <c r="D34" s="21" t="str">
        <f>LAYER_SCORES!D34</f>
        <v/>
      </c>
      <c r="E34" s="21">
        <f>LAYER_SCORES!E34</f>
        <v>100</v>
      </c>
      <c r="F34" s="21">
        <f>LAYER_SCORES!F34</f>
        <v>100</v>
      </c>
      <c r="G34" s="21">
        <f>LAYER_SCORES!G34</f>
        <v>100</v>
      </c>
      <c r="H34" s="21">
        <f>LAYER_SCORES!H34</f>
        <v>100</v>
      </c>
      <c r="I34" s="21">
        <f>LAYER_SCORES!I34</f>
        <v>100</v>
      </c>
      <c r="J34" s="21" t="str">
        <f>IF(A34="","",SUMPRODUCT(PARAMETERS!$C$5:$C$9,E34:I34))</f>
        <v/>
      </c>
      <c r="K34" s="21" t="str">
        <f t="shared" si="1"/>
        <v/>
      </c>
    </row>
    <row r="35" ht="15.75" customHeight="1">
      <c r="A35" s="21" t="str">
        <f>LAYER_SCORES!A35</f>
        <v/>
      </c>
      <c r="B35" s="21" t="str">
        <f>LAYER_SCORES!B35</f>
        <v/>
      </c>
      <c r="C35" s="21" t="str">
        <f>LAYER_SCORES!C35</f>
        <v/>
      </c>
      <c r="D35" s="21" t="str">
        <f>LAYER_SCORES!D35</f>
        <v/>
      </c>
      <c r="E35" s="21">
        <f>LAYER_SCORES!E35</f>
        <v>100</v>
      </c>
      <c r="F35" s="21">
        <f>LAYER_SCORES!F35</f>
        <v>100</v>
      </c>
      <c r="G35" s="21">
        <f>LAYER_SCORES!G35</f>
        <v>100</v>
      </c>
      <c r="H35" s="21">
        <f>LAYER_SCORES!H35</f>
        <v>100</v>
      </c>
      <c r="I35" s="21">
        <f>LAYER_SCORES!I35</f>
        <v>100</v>
      </c>
      <c r="J35" s="21" t="str">
        <f>IF(A35="","",SUMPRODUCT(PARAMETERS!$C$5:$C$9,E35:I35))</f>
        <v/>
      </c>
      <c r="K35" s="21" t="str">
        <f t="shared" si="1"/>
        <v/>
      </c>
    </row>
    <row r="36" ht="15.75" customHeight="1">
      <c r="A36" s="21" t="str">
        <f>LAYER_SCORES!A36</f>
        <v/>
      </c>
      <c r="B36" s="21" t="str">
        <f>LAYER_SCORES!B36</f>
        <v/>
      </c>
      <c r="C36" s="21" t="str">
        <f>LAYER_SCORES!C36</f>
        <v/>
      </c>
      <c r="D36" s="21" t="str">
        <f>LAYER_SCORES!D36</f>
        <v/>
      </c>
      <c r="E36" s="21">
        <f>LAYER_SCORES!E36</f>
        <v>100</v>
      </c>
      <c r="F36" s="21">
        <f>LAYER_SCORES!F36</f>
        <v>100</v>
      </c>
      <c r="G36" s="21">
        <f>LAYER_SCORES!G36</f>
        <v>100</v>
      </c>
      <c r="H36" s="21">
        <f>LAYER_SCORES!H36</f>
        <v>100</v>
      </c>
      <c r="I36" s="21">
        <f>LAYER_SCORES!I36</f>
        <v>100</v>
      </c>
      <c r="J36" s="21" t="str">
        <f>IF(A36="","",SUMPRODUCT(PARAMETERS!$C$5:$C$9,E36:I36))</f>
        <v/>
      </c>
      <c r="K36" s="21" t="str">
        <f t="shared" si="1"/>
        <v/>
      </c>
    </row>
    <row r="37" ht="15.75" customHeight="1">
      <c r="A37" s="21" t="str">
        <f>LAYER_SCORES!A37</f>
        <v/>
      </c>
      <c r="B37" s="21" t="str">
        <f>LAYER_SCORES!B37</f>
        <v/>
      </c>
      <c r="C37" s="21" t="str">
        <f>LAYER_SCORES!C37</f>
        <v/>
      </c>
      <c r="D37" s="21" t="str">
        <f>LAYER_SCORES!D37</f>
        <v/>
      </c>
      <c r="E37" s="21">
        <f>LAYER_SCORES!E37</f>
        <v>100</v>
      </c>
      <c r="F37" s="21">
        <f>LAYER_SCORES!F37</f>
        <v>100</v>
      </c>
      <c r="G37" s="21">
        <f>LAYER_SCORES!G37</f>
        <v>100</v>
      </c>
      <c r="H37" s="21">
        <f>LAYER_SCORES!H37</f>
        <v>100</v>
      </c>
      <c r="I37" s="21">
        <f>LAYER_SCORES!I37</f>
        <v>100</v>
      </c>
      <c r="J37" s="21" t="str">
        <f>IF(A37="","",SUMPRODUCT(PARAMETERS!$C$5:$C$9,E37:I37))</f>
        <v/>
      </c>
      <c r="K37" s="21" t="str">
        <f t="shared" si="1"/>
        <v/>
      </c>
    </row>
    <row r="38" ht="15.75" customHeight="1">
      <c r="A38" s="21" t="str">
        <f>LAYER_SCORES!A38</f>
        <v/>
      </c>
      <c r="B38" s="21" t="str">
        <f>LAYER_SCORES!B38</f>
        <v/>
      </c>
      <c r="C38" s="21" t="str">
        <f>LAYER_SCORES!C38</f>
        <v/>
      </c>
      <c r="D38" s="21" t="str">
        <f>LAYER_SCORES!D38</f>
        <v/>
      </c>
      <c r="E38" s="21">
        <f>LAYER_SCORES!E38</f>
        <v>100</v>
      </c>
      <c r="F38" s="21">
        <f>LAYER_SCORES!F38</f>
        <v>100</v>
      </c>
      <c r="G38" s="21">
        <f>LAYER_SCORES!G38</f>
        <v>100</v>
      </c>
      <c r="H38" s="21">
        <f>LAYER_SCORES!H38</f>
        <v>100</v>
      </c>
      <c r="I38" s="21">
        <f>LAYER_SCORES!I38</f>
        <v>100</v>
      </c>
      <c r="J38" s="21" t="str">
        <f>IF(A38="","",SUMPRODUCT(PARAMETERS!$C$5:$C$9,E38:I38))</f>
        <v/>
      </c>
      <c r="K38" s="21" t="str">
        <f t="shared" si="1"/>
        <v/>
      </c>
    </row>
    <row r="39" ht="15.75" customHeight="1">
      <c r="A39" s="21" t="str">
        <f>LAYER_SCORES!A39</f>
        <v/>
      </c>
      <c r="B39" s="21" t="str">
        <f>LAYER_SCORES!B39</f>
        <v/>
      </c>
      <c r="C39" s="21" t="str">
        <f>LAYER_SCORES!C39</f>
        <v/>
      </c>
      <c r="D39" s="21" t="str">
        <f>LAYER_SCORES!D39</f>
        <v/>
      </c>
      <c r="E39" s="21">
        <f>LAYER_SCORES!E39</f>
        <v>100</v>
      </c>
      <c r="F39" s="21">
        <f>LAYER_SCORES!F39</f>
        <v>100</v>
      </c>
      <c r="G39" s="21">
        <f>LAYER_SCORES!G39</f>
        <v>100</v>
      </c>
      <c r="H39" s="21">
        <f>LAYER_SCORES!H39</f>
        <v>100</v>
      </c>
      <c r="I39" s="21">
        <f>LAYER_SCORES!I39</f>
        <v>100</v>
      </c>
      <c r="J39" s="21" t="str">
        <f>IF(A39="","",SUMPRODUCT(PARAMETERS!$C$5:$C$9,E39:I39))</f>
        <v/>
      </c>
      <c r="K39" s="21" t="str">
        <f t="shared" si="1"/>
        <v/>
      </c>
    </row>
    <row r="40" ht="15.75" customHeight="1">
      <c r="A40" s="21" t="str">
        <f>LAYER_SCORES!A40</f>
        <v/>
      </c>
      <c r="B40" s="21" t="str">
        <f>LAYER_SCORES!B40</f>
        <v/>
      </c>
      <c r="C40" s="21" t="str">
        <f>LAYER_SCORES!C40</f>
        <v/>
      </c>
      <c r="D40" s="21" t="str">
        <f>LAYER_SCORES!D40</f>
        <v/>
      </c>
      <c r="E40" s="21">
        <f>LAYER_SCORES!E40</f>
        <v>100</v>
      </c>
      <c r="F40" s="21">
        <f>LAYER_SCORES!F40</f>
        <v>100</v>
      </c>
      <c r="G40" s="21">
        <f>LAYER_SCORES!G40</f>
        <v>100</v>
      </c>
      <c r="H40" s="21">
        <f>LAYER_SCORES!H40</f>
        <v>100</v>
      </c>
      <c r="I40" s="21">
        <f>LAYER_SCORES!I40</f>
        <v>100</v>
      </c>
      <c r="J40" s="21" t="str">
        <f>IF(A40="","",SUMPRODUCT(PARAMETERS!$C$5:$C$9,E40:I40))</f>
        <v/>
      </c>
      <c r="K40" s="21" t="str">
        <f t="shared" si="1"/>
        <v/>
      </c>
    </row>
    <row r="41" ht="15.75" customHeight="1">
      <c r="A41" s="21" t="str">
        <f>LAYER_SCORES!A41</f>
        <v/>
      </c>
      <c r="B41" s="21" t="str">
        <f>LAYER_SCORES!B41</f>
        <v/>
      </c>
      <c r="C41" s="21" t="str">
        <f>LAYER_SCORES!C41</f>
        <v/>
      </c>
      <c r="D41" s="21" t="str">
        <f>LAYER_SCORES!D41</f>
        <v/>
      </c>
      <c r="E41" s="21">
        <f>LAYER_SCORES!E41</f>
        <v>100</v>
      </c>
      <c r="F41" s="21">
        <f>LAYER_SCORES!F41</f>
        <v>100</v>
      </c>
      <c r="G41" s="21">
        <f>LAYER_SCORES!G41</f>
        <v>100</v>
      </c>
      <c r="H41" s="21">
        <f>LAYER_SCORES!H41</f>
        <v>100</v>
      </c>
      <c r="I41" s="21">
        <f>LAYER_SCORES!I41</f>
        <v>100</v>
      </c>
      <c r="J41" s="21" t="str">
        <f>IF(A41="","",SUMPRODUCT(PARAMETERS!$C$5:$C$9,E41:I41))</f>
        <v/>
      </c>
      <c r="K41" s="21" t="str">
        <f t="shared" si="1"/>
        <v/>
      </c>
    </row>
    <row r="42" ht="15.75" customHeight="1">
      <c r="A42" s="21" t="str">
        <f>LAYER_SCORES!A42</f>
        <v/>
      </c>
      <c r="B42" s="21" t="str">
        <f>LAYER_SCORES!B42</f>
        <v/>
      </c>
      <c r="C42" s="21" t="str">
        <f>LAYER_SCORES!C42</f>
        <v/>
      </c>
      <c r="D42" s="21" t="str">
        <f>LAYER_SCORES!D42</f>
        <v/>
      </c>
      <c r="E42" s="21">
        <f>LAYER_SCORES!E42</f>
        <v>100</v>
      </c>
      <c r="F42" s="21">
        <f>LAYER_SCORES!F42</f>
        <v>100</v>
      </c>
      <c r="G42" s="21">
        <f>LAYER_SCORES!G42</f>
        <v>100</v>
      </c>
      <c r="H42" s="21">
        <f>LAYER_SCORES!H42</f>
        <v>100</v>
      </c>
      <c r="I42" s="21">
        <f>LAYER_SCORES!I42</f>
        <v>100</v>
      </c>
      <c r="J42" s="21" t="str">
        <f>IF(A42="","",SUMPRODUCT(PARAMETERS!$C$5:$C$9,E42:I42))</f>
        <v/>
      </c>
      <c r="K42" s="21" t="str">
        <f t="shared" si="1"/>
        <v/>
      </c>
    </row>
    <row r="43" ht="15.75" customHeight="1">
      <c r="A43" s="21" t="str">
        <f>LAYER_SCORES!A43</f>
        <v/>
      </c>
      <c r="B43" s="21" t="str">
        <f>LAYER_SCORES!B43</f>
        <v/>
      </c>
      <c r="C43" s="21" t="str">
        <f>LAYER_SCORES!C43</f>
        <v/>
      </c>
      <c r="D43" s="21" t="str">
        <f>LAYER_SCORES!D43</f>
        <v/>
      </c>
      <c r="E43" s="21">
        <f>LAYER_SCORES!E43</f>
        <v>100</v>
      </c>
      <c r="F43" s="21">
        <f>LAYER_SCORES!F43</f>
        <v>100</v>
      </c>
      <c r="G43" s="21">
        <f>LAYER_SCORES!G43</f>
        <v>100</v>
      </c>
      <c r="H43" s="21">
        <f>LAYER_SCORES!H43</f>
        <v>100</v>
      </c>
      <c r="I43" s="21">
        <f>LAYER_SCORES!I43</f>
        <v>100</v>
      </c>
      <c r="J43" s="21" t="str">
        <f>IF(A43="","",SUMPRODUCT(PARAMETERS!$C$5:$C$9,E43:I43))</f>
        <v/>
      </c>
      <c r="K43" s="21" t="str">
        <f t="shared" si="1"/>
        <v/>
      </c>
    </row>
    <row r="44" ht="15.75" customHeight="1">
      <c r="A44" s="21" t="str">
        <f>LAYER_SCORES!A44</f>
        <v/>
      </c>
      <c r="B44" s="21" t="str">
        <f>LAYER_SCORES!B44</f>
        <v/>
      </c>
      <c r="C44" s="21" t="str">
        <f>LAYER_SCORES!C44</f>
        <v/>
      </c>
      <c r="D44" s="21" t="str">
        <f>LAYER_SCORES!D44</f>
        <v/>
      </c>
      <c r="E44" s="21">
        <f>LAYER_SCORES!E44</f>
        <v>100</v>
      </c>
      <c r="F44" s="21">
        <f>LAYER_SCORES!F44</f>
        <v>100</v>
      </c>
      <c r="G44" s="21">
        <f>LAYER_SCORES!G44</f>
        <v>100</v>
      </c>
      <c r="H44" s="21">
        <f>LAYER_SCORES!H44</f>
        <v>100</v>
      </c>
      <c r="I44" s="21">
        <f>LAYER_SCORES!I44</f>
        <v>100</v>
      </c>
      <c r="J44" s="21" t="str">
        <f>IF(A44="","",SUMPRODUCT(PARAMETERS!$C$5:$C$9,E44:I44))</f>
        <v/>
      </c>
      <c r="K44" s="21" t="str">
        <f t="shared" si="1"/>
        <v/>
      </c>
    </row>
    <row r="45" ht="15.75" customHeight="1">
      <c r="A45" s="21" t="str">
        <f>LAYER_SCORES!A45</f>
        <v/>
      </c>
      <c r="B45" s="21" t="str">
        <f>LAYER_SCORES!B45</f>
        <v/>
      </c>
      <c r="C45" s="21" t="str">
        <f>LAYER_SCORES!C45</f>
        <v/>
      </c>
      <c r="D45" s="21" t="str">
        <f>LAYER_SCORES!D45</f>
        <v/>
      </c>
      <c r="E45" s="21">
        <f>LAYER_SCORES!E45</f>
        <v>100</v>
      </c>
      <c r="F45" s="21">
        <f>LAYER_SCORES!F45</f>
        <v>100</v>
      </c>
      <c r="G45" s="21">
        <f>LAYER_SCORES!G45</f>
        <v>100</v>
      </c>
      <c r="H45" s="21">
        <f>LAYER_SCORES!H45</f>
        <v>100</v>
      </c>
      <c r="I45" s="21">
        <f>LAYER_SCORES!I45</f>
        <v>100</v>
      </c>
      <c r="J45" s="21" t="str">
        <f>IF(A45="","",SUMPRODUCT(PARAMETERS!$C$5:$C$9,E45:I45))</f>
        <v/>
      </c>
      <c r="K45" s="21" t="str">
        <f t="shared" si="1"/>
        <v/>
      </c>
    </row>
    <row r="46" ht="15.75" customHeight="1">
      <c r="A46" s="21" t="str">
        <f>LAYER_SCORES!A46</f>
        <v/>
      </c>
      <c r="B46" s="21" t="str">
        <f>LAYER_SCORES!B46</f>
        <v/>
      </c>
      <c r="C46" s="21" t="str">
        <f>LAYER_SCORES!C46</f>
        <v/>
      </c>
      <c r="D46" s="21" t="str">
        <f>LAYER_SCORES!D46</f>
        <v/>
      </c>
      <c r="E46" s="21">
        <f>LAYER_SCORES!E46</f>
        <v>100</v>
      </c>
      <c r="F46" s="21">
        <f>LAYER_SCORES!F46</f>
        <v>100</v>
      </c>
      <c r="G46" s="21">
        <f>LAYER_SCORES!G46</f>
        <v>100</v>
      </c>
      <c r="H46" s="21">
        <f>LAYER_SCORES!H46</f>
        <v>100</v>
      </c>
      <c r="I46" s="21">
        <f>LAYER_SCORES!I46</f>
        <v>100</v>
      </c>
      <c r="J46" s="21" t="str">
        <f>IF(A46="","",SUMPRODUCT(PARAMETERS!$C$5:$C$9,E46:I46))</f>
        <v/>
      </c>
      <c r="K46" s="21" t="str">
        <f t="shared" si="1"/>
        <v/>
      </c>
    </row>
    <row r="47" ht="15.75" customHeight="1">
      <c r="A47" s="21" t="str">
        <f>LAYER_SCORES!A47</f>
        <v/>
      </c>
      <c r="B47" s="21" t="str">
        <f>LAYER_SCORES!B47</f>
        <v/>
      </c>
      <c r="C47" s="21" t="str">
        <f>LAYER_SCORES!C47</f>
        <v/>
      </c>
      <c r="D47" s="21" t="str">
        <f>LAYER_SCORES!D47</f>
        <v/>
      </c>
      <c r="E47" s="21">
        <f>LAYER_SCORES!E47</f>
        <v>100</v>
      </c>
      <c r="F47" s="21">
        <f>LAYER_SCORES!F47</f>
        <v>100</v>
      </c>
      <c r="G47" s="21">
        <f>LAYER_SCORES!G47</f>
        <v>100</v>
      </c>
      <c r="H47" s="21">
        <f>LAYER_SCORES!H47</f>
        <v>100</v>
      </c>
      <c r="I47" s="21">
        <f>LAYER_SCORES!I47</f>
        <v>100</v>
      </c>
      <c r="J47" s="21" t="str">
        <f>IF(A47="","",SUMPRODUCT(PARAMETERS!$C$5:$C$9,E47:I47))</f>
        <v/>
      </c>
      <c r="K47" s="21" t="str">
        <f t="shared" si="1"/>
        <v/>
      </c>
    </row>
    <row r="48" ht="15.75" customHeight="1">
      <c r="A48" s="21" t="str">
        <f>LAYER_SCORES!A48</f>
        <v/>
      </c>
      <c r="B48" s="21" t="str">
        <f>LAYER_SCORES!B48</f>
        <v/>
      </c>
      <c r="C48" s="21" t="str">
        <f>LAYER_SCORES!C48</f>
        <v/>
      </c>
      <c r="D48" s="21" t="str">
        <f>LAYER_SCORES!D48</f>
        <v/>
      </c>
      <c r="E48" s="21">
        <f>LAYER_SCORES!E48</f>
        <v>100</v>
      </c>
      <c r="F48" s="21">
        <f>LAYER_SCORES!F48</f>
        <v>100</v>
      </c>
      <c r="G48" s="21">
        <f>LAYER_SCORES!G48</f>
        <v>100</v>
      </c>
      <c r="H48" s="21">
        <f>LAYER_SCORES!H48</f>
        <v>100</v>
      </c>
      <c r="I48" s="21">
        <f>LAYER_SCORES!I48</f>
        <v>100</v>
      </c>
      <c r="J48" s="21" t="str">
        <f>IF(A48="","",SUMPRODUCT(PARAMETERS!$C$5:$C$9,E48:I48))</f>
        <v/>
      </c>
      <c r="K48" s="21" t="str">
        <f t="shared" si="1"/>
        <v/>
      </c>
    </row>
    <row r="49" ht="15.75" customHeight="1">
      <c r="A49" s="21" t="str">
        <f>LAYER_SCORES!A49</f>
        <v/>
      </c>
      <c r="B49" s="21" t="str">
        <f>LAYER_SCORES!B49</f>
        <v/>
      </c>
      <c r="C49" s="21" t="str">
        <f>LAYER_SCORES!C49</f>
        <v/>
      </c>
      <c r="D49" s="21" t="str">
        <f>LAYER_SCORES!D49</f>
        <v/>
      </c>
      <c r="E49" s="21">
        <f>LAYER_SCORES!E49</f>
        <v>100</v>
      </c>
      <c r="F49" s="21">
        <f>LAYER_SCORES!F49</f>
        <v>100</v>
      </c>
      <c r="G49" s="21">
        <f>LAYER_SCORES!G49</f>
        <v>100</v>
      </c>
      <c r="H49" s="21">
        <f>LAYER_SCORES!H49</f>
        <v>100</v>
      </c>
      <c r="I49" s="21">
        <f>LAYER_SCORES!I49</f>
        <v>100</v>
      </c>
      <c r="J49" s="21" t="str">
        <f>IF(A49="","",SUMPRODUCT(PARAMETERS!$C$5:$C$9,E49:I49))</f>
        <v/>
      </c>
      <c r="K49" s="21" t="str">
        <f t="shared" si="1"/>
        <v/>
      </c>
    </row>
    <row r="50" ht="15.75" customHeight="1">
      <c r="A50" s="21" t="str">
        <f>LAYER_SCORES!A50</f>
        <v/>
      </c>
      <c r="B50" s="21" t="str">
        <f>LAYER_SCORES!B50</f>
        <v/>
      </c>
      <c r="C50" s="21" t="str">
        <f>LAYER_SCORES!C50</f>
        <v/>
      </c>
      <c r="D50" s="21" t="str">
        <f>LAYER_SCORES!D50</f>
        <v/>
      </c>
      <c r="E50" s="21">
        <f>LAYER_SCORES!E50</f>
        <v>100</v>
      </c>
      <c r="F50" s="21">
        <f>LAYER_SCORES!F50</f>
        <v>100</v>
      </c>
      <c r="G50" s="21">
        <f>LAYER_SCORES!G50</f>
        <v>100</v>
      </c>
      <c r="H50" s="21">
        <f>LAYER_SCORES!H50</f>
        <v>100</v>
      </c>
      <c r="I50" s="21">
        <f>LAYER_SCORES!I50</f>
        <v>100</v>
      </c>
      <c r="J50" s="21" t="str">
        <f>IF(A50="","",SUMPRODUCT(PARAMETERS!$C$5:$C$9,E50:I50))</f>
        <v/>
      </c>
      <c r="K50" s="21" t="str">
        <f t="shared" si="1"/>
        <v/>
      </c>
    </row>
    <row r="51" ht="15.75" customHeight="1">
      <c r="A51" s="21" t="str">
        <f>LAYER_SCORES!A51</f>
        <v/>
      </c>
      <c r="B51" s="21" t="str">
        <f>LAYER_SCORES!B51</f>
        <v/>
      </c>
      <c r="C51" s="21" t="str">
        <f>LAYER_SCORES!C51</f>
        <v/>
      </c>
      <c r="D51" s="21" t="str">
        <f>LAYER_SCORES!D51</f>
        <v/>
      </c>
      <c r="E51" s="21">
        <f>LAYER_SCORES!E51</f>
        <v>100</v>
      </c>
      <c r="F51" s="21">
        <f>LAYER_SCORES!F51</f>
        <v>100</v>
      </c>
      <c r="G51" s="21">
        <f>LAYER_SCORES!G51</f>
        <v>100</v>
      </c>
      <c r="H51" s="21">
        <f>LAYER_SCORES!H51</f>
        <v>100</v>
      </c>
      <c r="I51" s="21">
        <f>LAYER_SCORES!I51</f>
        <v>100</v>
      </c>
      <c r="J51" s="21" t="str">
        <f>IF(A51="","",SUMPRODUCT(PARAMETERS!$C$5:$C$9,E51:I51))</f>
        <v/>
      </c>
      <c r="K51" s="21" t="str">
        <f t="shared" si="1"/>
        <v/>
      </c>
    </row>
    <row r="52" ht="15.75" customHeight="1">
      <c r="A52" s="21" t="str">
        <f>LAYER_SCORES!A52</f>
        <v/>
      </c>
      <c r="B52" s="21" t="str">
        <f>LAYER_SCORES!B52</f>
        <v/>
      </c>
      <c r="C52" s="21" t="str">
        <f>LAYER_SCORES!C52</f>
        <v/>
      </c>
      <c r="D52" s="21" t="str">
        <f>LAYER_SCORES!D52</f>
        <v/>
      </c>
      <c r="E52" s="21">
        <f>LAYER_SCORES!E52</f>
        <v>100</v>
      </c>
      <c r="F52" s="21">
        <f>LAYER_SCORES!F52</f>
        <v>100</v>
      </c>
      <c r="G52" s="21">
        <f>LAYER_SCORES!G52</f>
        <v>100</v>
      </c>
      <c r="H52" s="21">
        <f>LAYER_SCORES!H52</f>
        <v>100</v>
      </c>
      <c r="I52" s="21">
        <f>LAYER_SCORES!I52</f>
        <v>100</v>
      </c>
      <c r="J52" s="21" t="str">
        <f>IF(A52="","",SUMPRODUCT(PARAMETERS!$C$5:$C$9,E52:I52))</f>
        <v/>
      </c>
      <c r="K52" s="21" t="str">
        <f t="shared" si="1"/>
        <v/>
      </c>
    </row>
    <row r="53" ht="15.75" customHeight="1">
      <c r="A53" s="21" t="str">
        <f>LAYER_SCORES!A53</f>
        <v/>
      </c>
      <c r="B53" s="21" t="str">
        <f>LAYER_SCORES!B53</f>
        <v/>
      </c>
      <c r="C53" s="21" t="str">
        <f>LAYER_SCORES!C53</f>
        <v/>
      </c>
      <c r="D53" s="21" t="str">
        <f>LAYER_SCORES!D53</f>
        <v/>
      </c>
      <c r="E53" s="21">
        <f>LAYER_SCORES!E53</f>
        <v>100</v>
      </c>
      <c r="F53" s="21">
        <f>LAYER_SCORES!F53</f>
        <v>100</v>
      </c>
      <c r="G53" s="21">
        <f>LAYER_SCORES!G53</f>
        <v>100</v>
      </c>
      <c r="H53" s="21">
        <f>LAYER_SCORES!H53</f>
        <v>100</v>
      </c>
      <c r="I53" s="21">
        <f>LAYER_SCORES!I53</f>
        <v>100</v>
      </c>
      <c r="J53" s="21" t="str">
        <f>IF(A53="","",SUMPRODUCT(PARAMETERS!$C$5:$C$9,E53:I53))</f>
        <v/>
      </c>
      <c r="K53" s="21" t="str">
        <f t="shared" si="1"/>
        <v/>
      </c>
    </row>
    <row r="54" ht="15.75" customHeight="1">
      <c r="A54" s="21" t="str">
        <f>LAYER_SCORES!A54</f>
        <v/>
      </c>
      <c r="B54" s="21" t="str">
        <f>LAYER_SCORES!B54</f>
        <v/>
      </c>
      <c r="C54" s="21" t="str">
        <f>LAYER_SCORES!C54</f>
        <v/>
      </c>
      <c r="D54" s="21" t="str">
        <f>LAYER_SCORES!D54</f>
        <v/>
      </c>
      <c r="E54" s="21">
        <f>LAYER_SCORES!E54</f>
        <v>100</v>
      </c>
      <c r="F54" s="21">
        <f>LAYER_SCORES!F54</f>
        <v>100</v>
      </c>
      <c r="G54" s="21">
        <f>LAYER_SCORES!G54</f>
        <v>100</v>
      </c>
      <c r="H54" s="21">
        <f>LAYER_SCORES!H54</f>
        <v>100</v>
      </c>
      <c r="I54" s="21">
        <f>LAYER_SCORES!I54</f>
        <v>100</v>
      </c>
      <c r="J54" s="21" t="str">
        <f>IF(A54="","",SUMPRODUCT(PARAMETERS!$C$5:$C$9,E54:I54))</f>
        <v/>
      </c>
      <c r="K54" s="21" t="str">
        <f t="shared" si="1"/>
        <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459C95D8-808C-416C-A9CE-9B59AF87EC91}" filter="1" showAutoFilter="1">
      <autoFilter ref="$A$4:$K$54"/>
    </customSheetView>
  </customSheetViews>
  <printOptions/>
  <pageMargins bottom="1.0" footer="0.0" header="0.0" left="0.75" right="0.75" top="1.0"/>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6.0"/>
    <col customWidth="1" min="2" max="4" width="10.0"/>
    <col customWidth="1" min="5" max="5" width="14.0"/>
    <col customWidth="1" min="6" max="6" width="42.0"/>
    <col customWidth="1" min="7" max="26" width="8.71"/>
  </cols>
  <sheetData>
    <row r="1">
      <c r="A1" s="18" t="s">
        <v>234</v>
      </c>
    </row>
    <row r="3">
      <c r="A3" s="19" t="s">
        <v>235</v>
      </c>
    </row>
    <row r="5">
      <c r="A5" s="20" t="s">
        <v>159</v>
      </c>
      <c r="B5" s="20" t="s">
        <v>122</v>
      </c>
      <c r="C5" s="20" t="s">
        <v>236</v>
      </c>
      <c r="D5" s="20" t="s">
        <v>237</v>
      </c>
      <c r="E5" s="20" t="s">
        <v>238</v>
      </c>
      <c r="F5" s="20" t="s">
        <v>239</v>
      </c>
    </row>
    <row r="6">
      <c r="A6" s="21" t="str">
        <f>BSI_CALC!A5</f>
        <v>EU-2015</v>
      </c>
      <c r="B6" s="21" t="str">
        <f>BSI_CALC!J5</f>
        <v>#VALUE!</v>
      </c>
      <c r="C6" s="21">
        <f>IF(A6="","",MIN(BSI_CALC!E5:BSI_CALC!I5))</f>
        <v>22</v>
      </c>
      <c r="D6" s="21" t="str">
        <f>BSI_CALC!K5</f>
        <v/>
      </c>
      <c r="E6" s="21" t="str">
        <f>IF(A6="","",IF(C6&lt;=PARAMETERS!$B$18,"Rupture",IF(B6&gt;=PARAMETERS!$B$16,"Stable",IF(B6&lt;=PARAMETERS!$B$15,"Rupture",IF(AND(B6&lt;PARAMETERS!$B$14,D6&lt;=PARAMETERS!$B$17),"Escalating",IF(B6&lt;PARAMETERS!$B$14,"Tremor","Normal"))))))</f>
        <v>Rupture</v>
      </c>
      <c r="F6" s="21" t="s">
        <v>240</v>
      </c>
    </row>
    <row r="7">
      <c r="A7" s="21" t="str">
        <f>BSI_CALC!A6</f>
        <v>EU-2023</v>
      </c>
      <c r="B7" s="21" t="str">
        <f>BSI_CALC!J6</f>
        <v>#VALUE!</v>
      </c>
      <c r="C7" s="21">
        <f>IF(A7="","",MIN(BSI_CALC!E6:BSI_CALC!I6))</f>
        <v>4</v>
      </c>
      <c r="D7" s="21" t="str">
        <f>BSI_CALC!K6</f>
        <v>#VALUE!</v>
      </c>
      <c r="E7" s="21" t="str">
        <f>IF(A7="","",IF(C7&lt;=PARAMETERS!$B$18,"Rupture",IF(B7&gt;=PARAMETERS!$B$16,"Stable",IF(B7&lt;=PARAMETERS!$B$15,"Rupture",IF(AND(B7&lt;PARAMETERS!$B$14,D7&lt;=PARAMETERS!$B$17),"Escalating",IF(B7&lt;PARAMETERS!$B$14,"Tremor","Normal"))))))</f>
        <v>Rupture</v>
      </c>
      <c r="F7" s="21" t="s">
        <v>240</v>
      </c>
    </row>
    <row r="8">
      <c r="A8" s="21" t="str">
        <f>BSI_CALC!A7</f>
        <v>SG-TRI-2026Q4</v>
      </c>
      <c r="B8" s="21" t="str">
        <f>BSI_CALC!J7</f>
        <v>#VALUE!</v>
      </c>
      <c r="C8" s="21">
        <f>IF(A8="","",MIN(BSI_CALC!E7:BSI_CALC!I7))</f>
        <v>72</v>
      </c>
      <c r="D8" s="21" t="str">
        <f>BSI_CALC!K7</f>
        <v>#VALUE!</v>
      </c>
      <c r="E8" s="21" t="str">
        <f>IF(A8="","",IF(C8&lt;=PARAMETERS!$B$18,"Rupture",IF(B8&gt;=PARAMETERS!$B$16,"Stable",IF(B8&lt;=PARAMETERS!$B$15,"Rupture",IF(AND(B8&lt;PARAMETERS!$B$14,D8&lt;=PARAMETERS!$B$17),"Escalating",IF(B8&lt;PARAMETERS!$B$14,"Tremor","Normal"))))))</f>
        <v>#VALUE!</v>
      </c>
      <c r="F8" s="21" t="s">
        <v>240</v>
      </c>
    </row>
    <row r="9">
      <c r="A9" s="21" t="str">
        <f>BSI_CALC!A8</f>
        <v/>
      </c>
      <c r="B9" s="21" t="str">
        <f>BSI_CALC!J8</f>
        <v/>
      </c>
      <c r="C9" s="21" t="str">
        <f>IF(A9="","",MIN(BSI_CALC!E8:BSI_CALC!I8))</f>
        <v/>
      </c>
      <c r="D9" s="21" t="str">
        <f>BSI_CALC!K8</f>
        <v/>
      </c>
      <c r="E9" s="21" t="str">
        <f>IF(A9="","",IF(C9&lt;=PARAMETERS!$B$18,"Rupture",IF(B9&gt;=PARAMETERS!$B$16,"Stable",IF(B9&lt;=PARAMETERS!$B$15,"Rupture",IF(AND(B9&lt;PARAMETERS!$B$14,D9&lt;=PARAMETERS!$B$17),"Escalating",IF(B9&lt;PARAMETERS!$B$14,"Tremor","Normal"))))))</f>
        <v/>
      </c>
      <c r="F9" s="21" t="s">
        <v>240</v>
      </c>
    </row>
    <row r="10">
      <c r="A10" s="21" t="str">
        <f>BSI_CALC!A9</f>
        <v/>
      </c>
      <c r="B10" s="21" t="str">
        <f>BSI_CALC!J9</f>
        <v/>
      </c>
      <c r="C10" s="21" t="str">
        <f>IF(A10="","",MIN(BSI_CALC!E9:BSI_CALC!I9))</f>
        <v/>
      </c>
      <c r="D10" s="21" t="str">
        <f>BSI_CALC!K9</f>
        <v/>
      </c>
      <c r="E10" s="21" t="str">
        <f>IF(A10="","",IF(C10&lt;=PARAMETERS!$B$18,"Rupture",IF(B10&gt;=PARAMETERS!$B$16,"Stable",IF(B10&lt;=PARAMETERS!$B$15,"Rupture",IF(AND(B10&lt;PARAMETERS!$B$14,D10&lt;=PARAMETERS!$B$17),"Escalating",IF(B10&lt;PARAMETERS!$B$14,"Tremor","Normal"))))))</f>
        <v/>
      </c>
      <c r="F10" s="21" t="s">
        <v>240</v>
      </c>
    </row>
    <row r="11">
      <c r="A11" s="21" t="str">
        <f>BSI_CALC!A10</f>
        <v/>
      </c>
      <c r="B11" s="21" t="str">
        <f>BSI_CALC!J10</f>
        <v/>
      </c>
      <c r="C11" s="21" t="str">
        <f>IF(A11="","",MIN(BSI_CALC!E10:BSI_CALC!I10))</f>
        <v/>
      </c>
      <c r="D11" s="21" t="str">
        <f>BSI_CALC!K10</f>
        <v/>
      </c>
      <c r="E11" s="21" t="str">
        <f>IF(A11="","",IF(C11&lt;=PARAMETERS!$B$18,"Rupture",IF(B11&gt;=PARAMETERS!$B$16,"Stable",IF(B11&lt;=PARAMETERS!$B$15,"Rupture",IF(AND(B11&lt;PARAMETERS!$B$14,D11&lt;=PARAMETERS!$B$17),"Escalating",IF(B11&lt;PARAMETERS!$B$14,"Tremor","Normal"))))))</f>
        <v/>
      </c>
      <c r="F11" s="21" t="s">
        <v>240</v>
      </c>
    </row>
    <row r="12">
      <c r="A12" s="21" t="str">
        <f>BSI_CALC!A11</f>
        <v/>
      </c>
      <c r="B12" s="21" t="str">
        <f>BSI_CALC!J11</f>
        <v/>
      </c>
      <c r="C12" s="21" t="str">
        <f>IF(A12="","",MIN(BSI_CALC!E11:BSI_CALC!I11))</f>
        <v/>
      </c>
      <c r="D12" s="21" t="str">
        <f>BSI_CALC!K11</f>
        <v/>
      </c>
      <c r="E12" s="21" t="str">
        <f>IF(A12="","",IF(C12&lt;=PARAMETERS!$B$18,"Rupture",IF(B12&gt;=PARAMETERS!$B$16,"Stable",IF(B12&lt;=PARAMETERS!$B$15,"Rupture",IF(AND(B12&lt;PARAMETERS!$B$14,D12&lt;=PARAMETERS!$B$17),"Escalating",IF(B12&lt;PARAMETERS!$B$14,"Tremor","Normal"))))))</f>
        <v/>
      </c>
      <c r="F12" s="21" t="s">
        <v>240</v>
      </c>
    </row>
    <row r="13">
      <c r="A13" s="21" t="str">
        <f>BSI_CALC!A12</f>
        <v/>
      </c>
      <c r="B13" s="21" t="str">
        <f>BSI_CALC!J12</f>
        <v/>
      </c>
      <c r="C13" s="21" t="str">
        <f>IF(A13="","",MIN(BSI_CALC!E12:BSI_CALC!I12))</f>
        <v/>
      </c>
      <c r="D13" s="21" t="str">
        <f>BSI_CALC!K12</f>
        <v/>
      </c>
      <c r="E13" s="21" t="str">
        <f>IF(A13="","",IF(C13&lt;=PARAMETERS!$B$18,"Rupture",IF(B13&gt;=PARAMETERS!$B$16,"Stable",IF(B13&lt;=PARAMETERS!$B$15,"Rupture",IF(AND(B13&lt;PARAMETERS!$B$14,D13&lt;=PARAMETERS!$B$17),"Escalating",IF(B13&lt;PARAMETERS!$B$14,"Tremor","Normal"))))))</f>
        <v/>
      </c>
      <c r="F13" s="21" t="s">
        <v>240</v>
      </c>
    </row>
    <row r="14">
      <c r="A14" s="21" t="str">
        <f>BSI_CALC!A13</f>
        <v/>
      </c>
      <c r="B14" s="21" t="str">
        <f>BSI_CALC!J13</f>
        <v/>
      </c>
      <c r="C14" s="21" t="str">
        <f>IF(A14="","",MIN(BSI_CALC!E13:BSI_CALC!I13))</f>
        <v/>
      </c>
      <c r="D14" s="21" t="str">
        <f>BSI_CALC!K13</f>
        <v/>
      </c>
      <c r="E14" s="21" t="str">
        <f>IF(A14="","",IF(C14&lt;=PARAMETERS!$B$18,"Rupture",IF(B14&gt;=PARAMETERS!$B$16,"Stable",IF(B14&lt;=PARAMETERS!$B$15,"Rupture",IF(AND(B14&lt;PARAMETERS!$B$14,D14&lt;=PARAMETERS!$B$17),"Escalating",IF(B14&lt;PARAMETERS!$B$14,"Tremor","Normal"))))))</f>
        <v/>
      </c>
      <c r="F14" s="21" t="s">
        <v>240</v>
      </c>
    </row>
    <row r="15">
      <c r="A15" s="21" t="str">
        <f>BSI_CALC!A14</f>
        <v/>
      </c>
      <c r="B15" s="21" t="str">
        <f>BSI_CALC!J14</f>
        <v/>
      </c>
      <c r="C15" s="21" t="str">
        <f>IF(A15="","",MIN(BSI_CALC!E14:BSI_CALC!I14))</f>
        <v/>
      </c>
      <c r="D15" s="21" t="str">
        <f>BSI_CALC!K14</f>
        <v/>
      </c>
      <c r="E15" s="21" t="str">
        <f>IF(A15="","",IF(C15&lt;=PARAMETERS!$B$18,"Rupture",IF(B15&gt;=PARAMETERS!$B$16,"Stable",IF(B15&lt;=PARAMETERS!$B$15,"Rupture",IF(AND(B15&lt;PARAMETERS!$B$14,D15&lt;=PARAMETERS!$B$17),"Escalating",IF(B15&lt;PARAMETERS!$B$14,"Tremor","Normal"))))))</f>
        <v/>
      </c>
      <c r="F15" s="21" t="s">
        <v>240</v>
      </c>
    </row>
    <row r="16">
      <c r="A16" s="21" t="str">
        <f>BSI_CALC!A15</f>
        <v/>
      </c>
      <c r="B16" s="21" t="str">
        <f>BSI_CALC!J15</f>
        <v/>
      </c>
      <c r="C16" s="21" t="str">
        <f>IF(A16="","",MIN(BSI_CALC!E15:BSI_CALC!I15))</f>
        <v/>
      </c>
      <c r="D16" s="21" t="str">
        <f>BSI_CALC!K15</f>
        <v/>
      </c>
      <c r="E16" s="21" t="str">
        <f>IF(A16="","",IF(C16&lt;=PARAMETERS!$B$18,"Rupture",IF(B16&gt;=PARAMETERS!$B$16,"Stable",IF(B16&lt;=PARAMETERS!$B$15,"Rupture",IF(AND(B16&lt;PARAMETERS!$B$14,D16&lt;=PARAMETERS!$B$17),"Escalating",IF(B16&lt;PARAMETERS!$B$14,"Tremor","Normal"))))))</f>
        <v/>
      </c>
      <c r="F16" s="21" t="s">
        <v>240</v>
      </c>
    </row>
    <row r="17">
      <c r="A17" s="21" t="str">
        <f>BSI_CALC!A16</f>
        <v/>
      </c>
      <c r="B17" s="21" t="str">
        <f>BSI_CALC!J16</f>
        <v/>
      </c>
      <c r="C17" s="21" t="str">
        <f>IF(A17="","",MIN(BSI_CALC!E16:BSI_CALC!I16))</f>
        <v/>
      </c>
      <c r="D17" s="21" t="str">
        <f>BSI_CALC!K16</f>
        <v/>
      </c>
      <c r="E17" s="21" t="str">
        <f>IF(A17="","",IF(C17&lt;=PARAMETERS!$B$18,"Rupture",IF(B17&gt;=PARAMETERS!$B$16,"Stable",IF(B17&lt;=PARAMETERS!$B$15,"Rupture",IF(AND(B17&lt;PARAMETERS!$B$14,D17&lt;=PARAMETERS!$B$17),"Escalating",IF(B17&lt;PARAMETERS!$B$14,"Tremor","Normal"))))))</f>
        <v/>
      </c>
      <c r="F17" s="21" t="s">
        <v>240</v>
      </c>
    </row>
    <row r="18">
      <c r="A18" s="21" t="str">
        <f>BSI_CALC!A17</f>
        <v/>
      </c>
      <c r="B18" s="21" t="str">
        <f>BSI_CALC!J17</f>
        <v/>
      </c>
      <c r="C18" s="21" t="str">
        <f>IF(A18="","",MIN(BSI_CALC!E17:BSI_CALC!I17))</f>
        <v/>
      </c>
      <c r="D18" s="21" t="str">
        <f>BSI_CALC!K17</f>
        <v/>
      </c>
      <c r="E18" s="21" t="str">
        <f>IF(A18="","",IF(C18&lt;=PARAMETERS!$B$18,"Rupture",IF(B18&gt;=PARAMETERS!$B$16,"Stable",IF(B18&lt;=PARAMETERS!$B$15,"Rupture",IF(AND(B18&lt;PARAMETERS!$B$14,D18&lt;=PARAMETERS!$B$17),"Escalating",IF(B18&lt;PARAMETERS!$B$14,"Tremor","Normal"))))))</f>
        <v/>
      </c>
      <c r="F18" s="21" t="s">
        <v>240</v>
      </c>
    </row>
    <row r="19">
      <c r="A19" s="21" t="str">
        <f>BSI_CALC!A18</f>
        <v/>
      </c>
      <c r="B19" s="21" t="str">
        <f>BSI_CALC!J18</f>
        <v/>
      </c>
      <c r="C19" s="21" t="str">
        <f>IF(A19="","",MIN(BSI_CALC!E18:BSI_CALC!I18))</f>
        <v/>
      </c>
      <c r="D19" s="21" t="str">
        <f>BSI_CALC!K18</f>
        <v/>
      </c>
      <c r="E19" s="21" t="str">
        <f>IF(A19="","",IF(C19&lt;=PARAMETERS!$B$18,"Rupture",IF(B19&gt;=PARAMETERS!$B$16,"Stable",IF(B19&lt;=PARAMETERS!$B$15,"Rupture",IF(AND(B19&lt;PARAMETERS!$B$14,D19&lt;=PARAMETERS!$B$17),"Escalating",IF(B19&lt;PARAMETERS!$B$14,"Tremor","Normal"))))))</f>
        <v/>
      </c>
      <c r="F19" s="21" t="s">
        <v>240</v>
      </c>
    </row>
    <row r="20">
      <c r="A20" s="21" t="str">
        <f>BSI_CALC!A19</f>
        <v/>
      </c>
      <c r="B20" s="21" t="str">
        <f>BSI_CALC!J19</f>
        <v/>
      </c>
      <c r="C20" s="21" t="str">
        <f>IF(A20="","",MIN(BSI_CALC!E19:BSI_CALC!I19))</f>
        <v/>
      </c>
      <c r="D20" s="21" t="str">
        <f>BSI_CALC!K19</f>
        <v/>
      </c>
      <c r="E20" s="21" t="str">
        <f>IF(A20="","",IF(C20&lt;=PARAMETERS!$B$18,"Rupture",IF(B20&gt;=PARAMETERS!$B$16,"Stable",IF(B20&lt;=PARAMETERS!$B$15,"Rupture",IF(AND(B20&lt;PARAMETERS!$B$14,D20&lt;=PARAMETERS!$B$17),"Escalating",IF(B20&lt;PARAMETERS!$B$14,"Tremor","Normal"))))))</f>
        <v/>
      </c>
      <c r="F20" s="21" t="s">
        <v>240</v>
      </c>
    </row>
    <row r="21" ht="15.75" customHeight="1">
      <c r="A21" s="21" t="str">
        <f>BSI_CALC!A20</f>
        <v/>
      </c>
      <c r="B21" s="21" t="str">
        <f>BSI_CALC!J20</f>
        <v/>
      </c>
      <c r="C21" s="21" t="str">
        <f>IF(A21="","",MIN(BSI_CALC!E20:BSI_CALC!I20))</f>
        <v/>
      </c>
      <c r="D21" s="21" t="str">
        <f>BSI_CALC!K20</f>
        <v/>
      </c>
      <c r="E21" s="21" t="str">
        <f>IF(A21="","",IF(C21&lt;=PARAMETERS!$B$18,"Rupture",IF(B21&gt;=PARAMETERS!$B$16,"Stable",IF(B21&lt;=PARAMETERS!$B$15,"Rupture",IF(AND(B21&lt;PARAMETERS!$B$14,D21&lt;=PARAMETERS!$B$17),"Escalating",IF(B21&lt;PARAMETERS!$B$14,"Tremor","Normal"))))))</f>
        <v/>
      </c>
      <c r="F21" s="21" t="s">
        <v>240</v>
      </c>
    </row>
    <row r="22" ht="15.75" customHeight="1">
      <c r="A22" s="21" t="str">
        <f>BSI_CALC!A21</f>
        <v/>
      </c>
      <c r="B22" s="21" t="str">
        <f>BSI_CALC!J21</f>
        <v/>
      </c>
      <c r="C22" s="21" t="str">
        <f>IF(A22="","",MIN(BSI_CALC!E21:BSI_CALC!I21))</f>
        <v/>
      </c>
      <c r="D22" s="21" t="str">
        <f>BSI_CALC!K21</f>
        <v/>
      </c>
      <c r="E22" s="21" t="str">
        <f>IF(A22="","",IF(C22&lt;=PARAMETERS!$B$18,"Rupture",IF(B22&gt;=PARAMETERS!$B$16,"Stable",IF(B22&lt;=PARAMETERS!$B$15,"Rupture",IF(AND(B22&lt;PARAMETERS!$B$14,D22&lt;=PARAMETERS!$B$17),"Escalating",IF(B22&lt;PARAMETERS!$B$14,"Tremor","Normal"))))))</f>
        <v/>
      </c>
      <c r="F22" s="21" t="s">
        <v>240</v>
      </c>
    </row>
    <row r="23" ht="15.75" customHeight="1">
      <c r="A23" s="21" t="str">
        <f>BSI_CALC!A22</f>
        <v/>
      </c>
      <c r="B23" s="21" t="str">
        <f>BSI_CALC!J22</f>
        <v/>
      </c>
      <c r="C23" s="21" t="str">
        <f>IF(A23="","",MIN(BSI_CALC!E22:BSI_CALC!I22))</f>
        <v/>
      </c>
      <c r="D23" s="21" t="str">
        <f>BSI_CALC!K22</f>
        <v/>
      </c>
      <c r="E23" s="21" t="str">
        <f>IF(A23="","",IF(C23&lt;=PARAMETERS!$B$18,"Rupture",IF(B23&gt;=PARAMETERS!$B$16,"Stable",IF(B23&lt;=PARAMETERS!$B$15,"Rupture",IF(AND(B23&lt;PARAMETERS!$B$14,D23&lt;=PARAMETERS!$B$17),"Escalating",IF(B23&lt;PARAMETERS!$B$14,"Tremor","Normal"))))))</f>
        <v/>
      </c>
      <c r="F23" s="21" t="s">
        <v>240</v>
      </c>
    </row>
    <row r="24" ht="15.75" customHeight="1">
      <c r="A24" s="21" t="str">
        <f>BSI_CALC!A23</f>
        <v/>
      </c>
      <c r="B24" s="21" t="str">
        <f>BSI_CALC!J23</f>
        <v/>
      </c>
      <c r="C24" s="21" t="str">
        <f>IF(A24="","",MIN(BSI_CALC!E23:BSI_CALC!I23))</f>
        <v/>
      </c>
      <c r="D24" s="21" t="str">
        <f>BSI_CALC!K23</f>
        <v/>
      </c>
      <c r="E24" s="21" t="str">
        <f>IF(A24="","",IF(C24&lt;=PARAMETERS!$B$18,"Rupture",IF(B24&gt;=PARAMETERS!$B$16,"Stable",IF(B24&lt;=PARAMETERS!$B$15,"Rupture",IF(AND(B24&lt;PARAMETERS!$B$14,D24&lt;=PARAMETERS!$B$17),"Escalating",IF(B24&lt;PARAMETERS!$B$14,"Tremor","Normal"))))))</f>
        <v/>
      </c>
      <c r="F24" s="21" t="s">
        <v>240</v>
      </c>
    </row>
    <row r="25" ht="15.75" customHeight="1">
      <c r="A25" s="21" t="str">
        <f>BSI_CALC!A24</f>
        <v/>
      </c>
      <c r="B25" s="21" t="str">
        <f>BSI_CALC!J24</f>
        <v/>
      </c>
      <c r="C25" s="21" t="str">
        <f>IF(A25="","",MIN(BSI_CALC!E24:BSI_CALC!I24))</f>
        <v/>
      </c>
      <c r="D25" s="21" t="str">
        <f>BSI_CALC!K24</f>
        <v/>
      </c>
      <c r="E25" s="21" t="str">
        <f>IF(A25="","",IF(C25&lt;=PARAMETERS!$B$18,"Rupture",IF(B25&gt;=PARAMETERS!$B$16,"Stable",IF(B25&lt;=PARAMETERS!$B$15,"Rupture",IF(AND(B25&lt;PARAMETERS!$B$14,D25&lt;=PARAMETERS!$B$17),"Escalating",IF(B25&lt;PARAMETERS!$B$14,"Tremor","Normal"))))))</f>
        <v/>
      </c>
      <c r="F25" s="21" t="s">
        <v>240</v>
      </c>
    </row>
    <row r="26" ht="15.75" customHeight="1">
      <c r="A26" s="21" t="str">
        <f>BSI_CALC!A25</f>
        <v/>
      </c>
      <c r="B26" s="21" t="str">
        <f>BSI_CALC!J25</f>
        <v/>
      </c>
      <c r="C26" s="21" t="str">
        <f>IF(A26="","",MIN(BSI_CALC!E25:BSI_CALC!I25))</f>
        <v/>
      </c>
      <c r="D26" s="21" t="str">
        <f>BSI_CALC!K25</f>
        <v/>
      </c>
      <c r="E26" s="21" t="str">
        <f>IF(A26="","",IF(C26&lt;=PARAMETERS!$B$18,"Rupture",IF(B26&gt;=PARAMETERS!$B$16,"Stable",IF(B26&lt;=PARAMETERS!$B$15,"Rupture",IF(AND(B26&lt;PARAMETERS!$B$14,D26&lt;=PARAMETERS!$B$17),"Escalating",IF(B26&lt;PARAMETERS!$B$14,"Tremor","Normal"))))))</f>
        <v/>
      </c>
      <c r="F26" s="21" t="s">
        <v>240</v>
      </c>
    </row>
    <row r="27" ht="15.75" customHeight="1">
      <c r="A27" s="21" t="str">
        <f>BSI_CALC!A26</f>
        <v/>
      </c>
      <c r="B27" s="21" t="str">
        <f>BSI_CALC!J26</f>
        <v/>
      </c>
      <c r="C27" s="21" t="str">
        <f>IF(A27="","",MIN(BSI_CALC!E26:BSI_CALC!I26))</f>
        <v/>
      </c>
      <c r="D27" s="21" t="str">
        <f>BSI_CALC!K26</f>
        <v/>
      </c>
      <c r="E27" s="21" t="str">
        <f>IF(A27="","",IF(C27&lt;=PARAMETERS!$B$18,"Rupture",IF(B27&gt;=PARAMETERS!$B$16,"Stable",IF(B27&lt;=PARAMETERS!$B$15,"Rupture",IF(AND(B27&lt;PARAMETERS!$B$14,D27&lt;=PARAMETERS!$B$17),"Escalating",IF(B27&lt;PARAMETERS!$B$14,"Tremor","Normal"))))))</f>
        <v/>
      </c>
      <c r="F27" s="21" t="s">
        <v>240</v>
      </c>
    </row>
    <row r="28" ht="15.75" customHeight="1">
      <c r="A28" s="21" t="str">
        <f>BSI_CALC!A27</f>
        <v/>
      </c>
      <c r="B28" s="21" t="str">
        <f>BSI_CALC!J27</f>
        <v/>
      </c>
      <c r="C28" s="21" t="str">
        <f>IF(A28="","",MIN(BSI_CALC!E27:BSI_CALC!I27))</f>
        <v/>
      </c>
      <c r="D28" s="21" t="str">
        <f>BSI_CALC!K27</f>
        <v/>
      </c>
      <c r="E28" s="21" t="str">
        <f>IF(A28="","",IF(C28&lt;=PARAMETERS!$B$18,"Rupture",IF(B28&gt;=PARAMETERS!$B$16,"Stable",IF(B28&lt;=PARAMETERS!$B$15,"Rupture",IF(AND(B28&lt;PARAMETERS!$B$14,D28&lt;=PARAMETERS!$B$17),"Escalating",IF(B28&lt;PARAMETERS!$B$14,"Tremor","Normal"))))))</f>
        <v/>
      </c>
      <c r="F28" s="21" t="s">
        <v>240</v>
      </c>
    </row>
    <row r="29" ht="15.75" customHeight="1">
      <c r="A29" s="21" t="str">
        <f>BSI_CALC!A28</f>
        <v/>
      </c>
      <c r="B29" s="21" t="str">
        <f>BSI_CALC!J28</f>
        <v/>
      </c>
      <c r="C29" s="21" t="str">
        <f>IF(A29="","",MIN(BSI_CALC!E28:BSI_CALC!I28))</f>
        <v/>
      </c>
      <c r="D29" s="21" t="str">
        <f>BSI_CALC!K28</f>
        <v/>
      </c>
      <c r="E29" s="21" t="str">
        <f>IF(A29="","",IF(C29&lt;=PARAMETERS!$B$18,"Rupture",IF(B29&gt;=PARAMETERS!$B$16,"Stable",IF(B29&lt;=PARAMETERS!$B$15,"Rupture",IF(AND(B29&lt;PARAMETERS!$B$14,D29&lt;=PARAMETERS!$B$17),"Escalating",IF(B29&lt;PARAMETERS!$B$14,"Tremor","Normal"))))))</f>
        <v/>
      </c>
      <c r="F29" s="21" t="s">
        <v>240</v>
      </c>
    </row>
    <row r="30" ht="15.75" customHeight="1">
      <c r="A30" s="21" t="str">
        <f>BSI_CALC!A29</f>
        <v/>
      </c>
      <c r="B30" s="21" t="str">
        <f>BSI_CALC!J29</f>
        <v/>
      </c>
      <c r="C30" s="21" t="str">
        <f>IF(A30="","",MIN(BSI_CALC!E29:BSI_CALC!I29))</f>
        <v/>
      </c>
      <c r="D30" s="21" t="str">
        <f>BSI_CALC!K29</f>
        <v/>
      </c>
      <c r="E30" s="21" t="str">
        <f>IF(A30="","",IF(C30&lt;=PARAMETERS!$B$18,"Rupture",IF(B30&gt;=PARAMETERS!$B$16,"Stable",IF(B30&lt;=PARAMETERS!$B$15,"Rupture",IF(AND(B30&lt;PARAMETERS!$B$14,D30&lt;=PARAMETERS!$B$17),"Escalating",IF(B30&lt;PARAMETERS!$B$14,"Tremor","Normal"))))))</f>
        <v/>
      </c>
      <c r="F30" s="21" t="s">
        <v>240</v>
      </c>
    </row>
    <row r="31" ht="15.75" customHeight="1">
      <c r="A31" s="21" t="str">
        <f>BSI_CALC!A30</f>
        <v/>
      </c>
      <c r="B31" s="21" t="str">
        <f>BSI_CALC!J30</f>
        <v/>
      </c>
      <c r="C31" s="21" t="str">
        <f>IF(A31="","",MIN(BSI_CALC!E30:BSI_CALC!I30))</f>
        <v/>
      </c>
      <c r="D31" s="21" t="str">
        <f>BSI_CALC!K30</f>
        <v/>
      </c>
      <c r="E31" s="21" t="str">
        <f>IF(A31="","",IF(C31&lt;=PARAMETERS!$B$18,"Rupture",IF(B31&gt;=PARAMETERS!$B$16,"Stable",IF(B31&lt;=PARAMETERS!$B$15,"Rupture",IF(AND(B31&lt;PARAMETERS!$B$14,D31&lt;=PARAMETERS!$B$17),"Escalating",IF(B31&lt;PARAMETERS!$B$14,"Tremor","Normal"))))))</f>
        <v/>
      </c>
      <c r="F31" s="21" t="s">
        <v>240</v>
      </c>
    </row>
    <row r="32" ht="15.75" customHeight="1">
      <c r="A32" s="21" t="str">
        <f>BSI_CALC!A31</f>
        <v/>
      </c>
      <c r="B32" s="21" t="str">
        <f>BSI_CALC!J31</f>
        <v/>
      </c>
      <c r="C32" s="21" t="str">
        <f>IF(A32="","",MIN(BSI_CALC!E31:BSI_CALC!I31))</f>
        <v/>
      </c>
      <c r="D32" s="21" t="str">
        <f>BSI_CALC!K31</f>
        <v/>
      </c>
      <c r="E32" s="21" t="str">
        <f>IF(A32="","",IF(C32&lt;=PARAMETERS!$B$18,"Rupture",IF(B32&gt;=PARAMETERS!$B$16,"Stable",IF(B32&lt;=PARAMETERS!$B$15,"Rupture",IF(AND(B32&lt;PARAMETERS!$B$14,D32&lt;=PARAMETERS!$B$17),"Escalating",IF(B32&lt;PARAMETERS!$B$14,"Tremor","Normal"))))))</f>
        <v/>
      </c>
      <c r="F32" s="21" t="s">
        <v>240</v>
      </c>
    </row>
    <row r="33" ht="15.75" customHeight="1">
      <c r="A33" s="21" t="str">
        <f>BSI_CALC!A32</f>
        <v/>
      </c>
      <c r="B33" s="21" t="str">
        <f>BSI_CALC!J32</f>
        <v/>
      </c>
      <c r="C33" s="21" t="str">
        <f>IF(A33="","",MIN(BSI_CALC!E32:BSI_CALC!I32))</f>
        <v/>
      </c>
      <c r="D33" s="21" t="str">
        <f>BSI_CALC!K32</f>
        <v/>
      </c>
      <c r="E33" s="21" t="str">
        <f>IF(A33="","",IF(C33&lt;=PARAMETERS!$B$18,"Rupture",IF(B33&gt;=PARAMETERS!$B$16,"Stable",IF(B33&lt;=PARAMETERS!$B$15,"Rupture",IF(AND(B33&lt;PARAMETERS!$B$14,D33&lt;=PARAMETERS!$B$17),"Escalating",IF(B33&lt;PARAMETERS!$B$14,"Tremor","Normal"))))))</f>
        <v/>
      </c>
      <c r="F33" s="21" t="s">
        <v>240</v>
      </c>
    </row>
    <row r="34" ht="15.75" customHeight="1">
      <c r="A34" s="21" t="str">
        <f>BSI_CALC!A33</f>
        <v/>
      </c>
      <c r="B34" s="21" t="str">
        <f>BSI_CALC!J33</f>
        <v/>
      </c>
      <c r="C34" s="21" t="str">
        <f>IF(A34="","",MIN(BSI_CALC!E33:BSI_CALC!I33))</f>
        <v/>
      </c>
      <c r="D34" s="21" t="str">
        <f>BSI_CALC!K33</f>
        <v/>
      </c>
      <c r="E34" s="21" t="str">
        <f>IF(A34="","",IF(C34&lt;=PARAMETERS!$B$18,"Rupture",IF(B34&gt;=PARAMETERS!$B$16,"Stable",IF(B34&lt;=PARAMETERS!$B$15,"Rupture",IF(AND(B34&lt;PARAMETERS!$B$14,D34&lt;=PARAMETERS!$B$17),"Escalating",IF(B34&lt;PARAMETERS!$B$14,"Tremor","Normal"))))))</f>
        <v/>
      </c>
      <c r="F34" s="21" t="s">
        <v>240</v>
      </c>
    </row>
    <row r="35" ht="15.75" customHeight="1">
      <c r="A35" s="21" t="str">
        <f>BSI_CALC!A34</f>
        <v/>
      </c>
      <c r="B35" s="21" t="str">
        <f>BSI_CALC!J34</f>
        <v/>
      </c>
      <c r="C35" s="21" t="str">
        <f>IF(A35="","",MIN(BSI_CALC!E34:BSI_CALC!I34))</f>
        <v/>
      </c>
      <c r="D35" s="21" t="str">
        <f>BSI_CALC!K34</f>
        <v/>
      </c>
      <c r="E35" s="21" t="str">
        <f>IF(A35="","",IF(C35&lt;=PARAMETERS!$B$18,"Rupture",IF(B35&gt;=PARAMETERS!$B$16,"Stable",IF(B35&lt;=PARAMETERS!$B$15,"Rupture",IF(AND(B35&lt;PARAMETERS!$B$14,D35&lt;=PARAMETERS!$B$17),"Escalating",IF(B35&lt;PARAMETERS!$B$14,"Tremor","Normal"))))))</f>
        <v/>
      </c>
      <c r="F35" s="21" t="s">
        <v>240</v>
      </c>
    </row>
    <row r="36" ht="15.75" customHeight="1">
      <c r="A36" s="21" t="str">
        <f>BSI_CALC!A35</f>
        <v/>
      </c>
      <c r="B36" s="21" t="str">
        <f>BSI_CALC!J35</f>
        <v/>
      </c>
      <c r="C36" s="21" t="str">
        <f>IF(A36="","",MIN(BSI_CALC!E35:BSI_CALC!I35))</f>
        <v/>
      </c>
      <c r="D36" s="21" t="str">
        <f>BSI_CALC!K35</f>
        <v/>
      </c>
      <c r="E36" s="21" t="str">
        <f>IF(A36="","",IF(C36&lt;=PARAMETERS!$B$18,"Rupture",IF(B36&gt;=PARAMETERS!$B$16,"Stable",IF(B36&lt;=PARAMETERS!$B$15,"Rupture",IF(AND(B36&lt;PARAMETERS!$B$14,D36&lt;=PARAMETERS!$B$17),"Escalating",IF(B36&lt;PARAMETERS!$B$14,"Tremor","Normal"))))))</f>
        <v/>
      </c>
      <c r="F36" s="21" t="s">
        <v>240</v>
      </c>
    </row>
    <row r="37" ht="15.75" customHeight="1">
      <c r="A37" s="21" t="str">
        <f>BSI_CALC!A36</f>
        <v/>
      </c>
      <c r="B37" s="21" t="str">
        <f>BSI_CALC!J36</f>
        <v/>
      </c>
      <c r="C37" s="21" t="str">
        <f>IF(A37="","",MIN(BSI_CALC!E36:BSI_CALC!I36))</f>
        <v/>
      </c>
      <c r="D37" s="21" t="str">
        <f>BSI_CALC!K36</f>
        <v/>
      </c>
      <c r="E37" s="21" t="str">
        <f>IF(A37="","",IF(C37&lt;=PARAMETERS!$B$18,"Rupture",IF(B37&gt;=PARAMETERS!$B$16,"Stable",IF(B37&lt;=PARAMETERS!$B$15,"Rupture",IF(AND(B37&lt;PARAMETERS!$B$14,D37&lt;=PARAMETERS!$B$17),"Escalating",IF(B37&lt;PARAMETERS!$B$14,"Tremor","Normal"))))))</f>
        <v/>
      </c>
      <c r="F37" s="21" t="s">
        <v>240</v>
      </c>
    </row>
    <row r="38" ht="15.75" customHeight="1">
      <c r="A38" s="21" t="str">
        <f>BSI_CALC!A37</f>
        <v/>
      </c>
      <c r="B38" s="21" t="str">
        <f>BSI_CALC!J37</f>
        <v/>
      </c>
      <c r="C38" s="21" t="str">
        <f>IF(A38="","",MIN(BSI_CALC!E37:BSI_CALC!I37))</f>
        <v/>
      </c>
      <c r="D38" s="21" t="str">
        <f>BSI_CALC!K37</f>
        <v/>
      </c>
      <c r="E38" s="21" t="str">
        <f>IF(A38="","",IF(C38&lt;=PARAMETERS!$B$18,"Rupture",IF(B38&gt;=PARAMETERS!$B$16,"Stable",IF(B38&lt;=PARAMETERS!$B$15,"Rupture",IF(AND(B38&lt;PARAMETERS!$B$14,D38&lt;=PARAMETERS!$B$17),"Escalating",IF(B38&lt;PARAMETERS!$B$14,"Tremor","Normal"))))))</f>
        <v/>
      </c>
      <c r="F38" s="21" t="s">
        <v>240</v>
      </c>
    </row>
    <row r="39" ht="15.75" customHeight="1">
      <c r="A39" s="21" t="str">
        <f>BSI_CALC!A38</f>
        <v/>
      </c>
      <c r="B39" s="21" t="str">
        <f>BSI_CALC!J38</f>
        <v/>
      </c>
      <c r="C39" s="21" t="str">
        <f>IF(A39="","",MIN(BSI_CALC!E38:BSI_CALC!I38))</f>
        <v/>
      </c>
      <c r="D39" s="21" t="str">
        <f>BSI_CALC!K38</f>
        <v/>
      </c>
      <c r="E39" s="21" t="str">
        <f>IF(A39="","",IF(C39&lt;=PARAMETERS!$B$18,"Rupture",IF(B39&gt;=PARAMETERS!$B$16,"Stable",IF(B39&lt;=PARAMETERS!$B$15,"Rupture",IF(AND(B39&lt;PARAMETERS!$B$14,D39&lt;=PARAMETERS!$B$17),"Escalating",IF(B39&lt;PARAMETERS!$B$14,"Tremor","Normal"))))))</f>
        <v/>
      </c>
      <c r="F39" s="21" t="s">
        <v>240</v>
      </c>
    </row>
    <row r="40" ht="15.75" customHeight="1">
      <c r="A40" s="21" t="str">
        <f>BSI_CALC!A39</f>
        <v/>
      </c>
      <c r="B40" s="21" t="str">
        <f>BSI_CALC!J39</f>
        <v/>
      </c>
      <c r="C40" s="21" t="str">
        <f>IF(A40="","",MIN(BSI_CALC!E39:BSI_CALC!I39))</f>
        <v/>
      </c>
      <c r="D40" s="21" t="str">
        <f>BSI_CALC!K39</f>
        <v/>
      </c>
      <c r="E40" s="21" t="str">
        <f>IF(A40="","",IF(C40&lt;=PARAMETERS!$B$18,"Rupture",IF(B40&gt;=PARAMETERS!$B$16,"Stable",IF(B40&lt;=PARAMETERS!$B$15,"Rupture",IF(AND(B40&lt;PARAMETERS!$B$14,D40&lt;=PARAMETERS!$B$17),"Escalating",IF(B40&lt;PARAMETERS!$B$14,"Tremor","Normal"))))))</f>
        <v/>
      </c>
      <c r="F40" s="21" t="s">
        <v>240</v>
      </c>
    </row>
    <row r="41" ht="15.75" customHeight="1">
      <c r="A41" s="21" t="str">
        <f>BSI_CALC!A40</f>
        <v/>
      </c>
      <c r="B41" s="21" t="str">
        <f>BSI_CALC!J40</f>
        <v/>
      </c>
      <c r="C41" s="21" t="str">
        <f>IF(A41="","",MIN(BSI_CALC!E40:BSI_CALC!I40))</f>
        <v/>
      </c>
      <c r="D41" s="21" t="str">
        <f>BSI_CALC!K40</f>
        <v/>
      </c>
      <c r="E41" s="21" t="str">
        <f>IF(A41="","",IF(C41&lt;=PARAMETERS!$B$18,"Rupture",IF(B41&gt;=PARAMETERS!$B$16,"Stable",IF(B41&lt;=PARAMETERS!$B$15,"Rupture",IF(AND(B41&lt;PARAMETERS!$B$14,D41&lt;=PARAMETERS!$B$17),"Escalating",IF(B41&lt;PARAMETERS!$B$14,"Tremor","Normal"))))))</f>
        <v/>
      </c>
      <c r="F41" s="21" t="s">
        <v>240</v>
      </c>
    </row>
    <row r="42" ht="15.75" customHeight="1">
      <c r="A42" s="21" t="str">
        <f>BSI_CALC!A41</f>
        <v/>
      </c>
      <c r="B42" s="21" t="str">
        <f>BSI_CALC!J41</f>
        <v/>
      </c>
      <c r="C42" s="21" t="str">
        <f>IF(A42="","",MIN(BSI_CALC!E41:BSI_CALC!I41))</f>
        <v/>
      </c>
      <c r="D42" s="21" t="str">
        <f>BSI_CALC!K41</f>
        <v/>
      </c>
      <c r="E42" s="21" t="str">
        <f>IF(A42="","",IF(C42&lt;=PARAMETERS!$B$18,"Rupture",IF(B42&gt;=PARAMETERS!$B$16,"Stable",IF(B42&lt;=PARAMETERS!$B$15,"Rupture",IF(AND(B42&lt;PARAMETERS!$B$14,D42&lt;=PARAMETERS!$B$17),"Escalating",IF(B42&lt;PARAMETERS!$B$14,"Tremor","Normal"))))))</f>
        <v/>
      </c>
      <c r="F42" s="21" t="s">
        <v>240</v>
      </c>
    </row>
    <row r="43" ht="15.75" customHeight="1">
      <c r="A43" s="21" t="str">
        <f>BSI_CALC!A42</f>
        <v/>
      </c>
      <c r="B43" s="21" t="str">
        <f>BSI_CALC!J42</f>
        <v/>
      </c>
      <c r="C43" s="21" t="str">
        <f>IF(A43="","",MIN(BSI_CALC!E42:BSI_CALC!I42))</f>
        <v/>
      </c>
      <c r="D43" s="21" t="str">
        <f>BSI_CALC!K42</f>
        <v/>
      </c>
      <c r="E43" s="21" t="str">
        <f>IF(A43="","",IF(C43&lt;=PARAMETERS!$B$18,"Rupture",IF(B43&gt;=PARAMETERS!$B$16,"Stable",IF(B43&lt;=PARAMETERS!$B$15,"Rupture",IF(AND(B43&lt;PARAMETERS!$B$14,D43&lt;=PARAMETERS!$B$17),"Escalating",IF(B43&lt;PARAMETERS!$B$14,"Tremor","Normal"))))))</f>
        <v/>
      </c>
      <c r="F43" s="21" t="s">
        <v>240</v>
      </c>
    </row>
    <row r="44" ht="15.75" customHeight="1">
      <c r="A44" s="21" t="str">
        <f>BSI_CALC!A43</f>
        <v/>
      </c>
      <c r="B44" s="21" t="str">
        <f>BSI_CALC!J43</f>
        <v/>
      </c>
      <c r="C44" s="21" t="str">
        <f>IF(A44="","",MIN(BSI_CALC!E43:BSI_CALC!I43))</f>
        <v/>
      </c>
      <c r="D44" s="21" t="str">
        <f>BSI_CALC!K43</f>
        <v/>
      </c>
      <c r="E44" s="21" t="str">
        <f>IF(A44="","",IF(C44&lt;=PARAMETERS!$B$18,"Rupture",IF(B44&gt;=PARAMETERS!$B$16,"Stable",IF(B44&lt;=PARAMETERS!$B$15,"Rupture",IF(AND(B44&lt;PARAMETERS!$B$14,D44&lt;=PARAMETERS!$B$17),"Escalating",IF(B44&lt;PARAMETERS!$B$14,"Tremor","Normal"))))))</f>
        <v/>
      </c>
      <c r="F44" s="21" t="s">
        <v>240</v>
      </c>
    </row>
    <row r="45" ht="15.75" customHeight="1">
      <c r="A45" s="21" t="str">
        <f>BSI_CALC!A44</f>
        <v/>
      </c>
      <c r="B45" s="21" t="str">
        <f>BSI_CALC!J44</f>
        <v/>
      </c>
      <c r="C45" s="21" t="str">
        <f>IF(A45="","",MIN(BSI_CALC!E44:BSI_CALC!I44))</f>
        <v/>
      </c>
      <c r="D45" s="21" t="str">
        <f>BSI_CALC!K44</f>
        <v/>
      </c>
      <c r="E45" s="21" t="str">
        <f>IF(A45="","",IF(C45&lt;=PARAMETERS!$B$18,"Rupture",IF(B45&gt;=PARAMETERS!$B$16,"Stable",IF(B45&lt;=PARAMETERS!$B$15,"Rupture",IF(AND(B45&lt;PARAMETERS!$B$14,D45&lt;=PARAMETERS!$B$17),"Escalating",IF(B45&lt;PARAMETERS!$B$14,"Tremor","Normal"))))))</f>
        <v/>
      </c>
      <c r="F45" s="21" t="s">
        <v>240</v>
      </c>
    </row>
    <row r="46" ht="15.75" customHeight="1">
      <c r="A46" s="21" t="str">
        <f>BSI_CALC!A45</f>
        <v/>
      </c>
      <c r="B46" s="21" t="str">
        <f>BSI_CALC!J45</f>
        <v/>
      </c>
      <c r="C46" s="21" t="str">
        <f>IF(A46="","",MIN(BSI_CALC!E45:BSI_CALC!I45))</f>
        <v/>
      </c>
      <c r="D46" s="21" t="str">
        <f>BSI_CALC!K45</f>
        <v/>
      </c>
      <c r="E46" s="21" t="str">
        <f>IF(A46="","",IF(C46&lt;=PARAMETERS!$B$18,"Rupture",IF(B46&gt;=PARAMETERS!$B$16,"Stable",IF(B46&lt;=PARAMETERS!$B$15,"Rupture",IF(AND(B46&lt;PARAMETERS!$B$14,D46&lt;=PARAMETERS!$B$17),"Escalating",IF(B46&lt;PARAMETERS!$B$14,"Tremor","Normal"))))))</f>
        <v/>
      </c>
      <c r="F46" s="21" t="s">
        <v>240</v>
      </c>
    </row>
    <row r="47" ht="15.75" customHeight="1">
      <c r="A47" s="21" t="str">
        <f>BSI_CALC!A46</f>
        <v/>
      </c>
      <c r="B47" s="21" t="str">
        <f>BSI_CALC!J46</f>
        <v/>
      </c>
      <c r="C47" s="21" t="str">
        <f>IF(A47="","",MIN(BSI_CALC!E46:BSI_CALC!I46))</f>
        <v/>
      </c>
      <c r="D47" s="21" t="str">
        <f>BSI_CALC!K46</f>
        <v/>
      </c>
      <c r="E47" s="21" t="str">
        <f>IF(A47="","",IF(C47&lt;=PARAMETERS!$B$18,"Rupture",IF(B47&gt;=PARAMETERS!$B$16,"Stable",IF(B47&lt;=PARAMETERS!$B$15,"Rupture",IF(AND(B47&lt;PARAMETERS!$B$14,D47&lt;=PARAMETERS!$B$17),"Escalating",IF(B47&lt;PARAMETERS!$B$14,"Tremor","Normal"))))))</f>
        <v/>
      </c>
      <c r="F47" s="21" t="s">
        <v>240</v>
      </c>
    </row>
    <row r="48" ht="15.75" customHeight="1">
      <c r="A48" s="21" t="str">
        <f>BSI_CALC!A47</f>
        <v/>
      </c>
      <c r="B48" s="21" t="str">
        <f>BSI_CALC!J47</f>
        <v/>
      </c>
      <c r="C48" s="21" t="str">
        <f>IF(A48="","",MIN(BSI_CALC!E47:BSI_CALC!I47))</f>
        <v/>
      </c>
      <c r="D48" s="21" t="str">
        <f>BSI_CALC!K47</f>
        <v/>
      </c>
      <c r="E48" s="21" t="str">
        <f>IF(A48="","",IF(C48&lt;=PARAMETERS!$B$18,"Rupture",IF(B48&gt;=PARAMETERS!$B$16,"Stable",IF(B48&lt;=PARAMETERS!$B$15,"Rupture",IF(AND(B48&lt;PARAMETERS!$B$14,D48&lt;=PARAMETERS!$B$17),"Escalating",IF(B48&lt;PARAMETERS!$B$14,"Tremor","Normal"))))))</f>
        <v/>
      </c>
      <c r="F48" s="21" t="s">
        <v>240</v>
      </c>
    </row>
    <row r="49" ht="15.75" customHeight="1">
      <c r="A49" s="21" t="str">
        <f>BSI_CALC!A48</f>
        <v/>
      </c>
      <c r="B49" s="21" t="str">
        <f>BSI_CALC!J48</f>
        <v/>
      </c>
      <c r="C49" s="21" t="str">
        <f>IF(A49="","",MIN(BSI_CALC!E48:BSI_CALC!I48))</f>
        <v/>
      </c>
      <c r="D49" s="21" t="str">
        <f>BSI_CALC!K48</f>
        <v/>
      </c>
      <c r="E49" s="21" t="str">
        <f>IF(A49="","",IF(C49&lt;=PARAMETERS!$B$18,"Rupture",IF(B49&gt;=PARAMETERS!$B$16,"Stable",IF(B49&lt;=PARAMETERS!$B$15,"Rupture",IF(AND(B49&lt;PARAMETERS!$B$14,D49&lt;=PARAMETERS!$B$17),"Escalating",IF(B49&lt;PARAMETERS!$B$14,"Tremor","Normal"))))))</f>
        <v/>
      </c>
      <c r="F49" s="21" t="s">
        <v>240</v>
      </c>
    </row>
    <row r="50" ht="15.75" customHeight="1">
      <c r="A50" s="21" t="str">
        <f>BSI_CALC!A49</f>
        <v/>
      </c>
      <c r="B50" s="21" t="str">
        <f>BSI_CALC!J49</f>
        <v/>
      </c>
      <c r="C50" s="21" t="str">
        <f>IF(A50="","",MIN(BSI_CALC!E49:BSI_CALC!I49))</f>
        <v/>
      </c>
      <c r="D50" s="21" t="str">
        <f>BSI_CALC!K49</f>
        <v/>
      </c>
      <c r="E50" s="21" t="str">
        <f>IF(A50="","",IF(C50&lt;=PARAMETERS!$B$18,"Rupture",IF(B50&gt;=PARAMETERS!$B$16,"Stable",IF(B50&lt;=PARAMETERS!$B$15,"Rupture",IF(AND(B50&lt;PARAMETERS!$B$14,D50&lt;=PARAMETERS!$B$17),"Escalating",IF(B50&lt;PARAMETERS!$B$14,"Tremor","Normal"))))))</f>
        <v/>
      </c>
      <c r="F50" s="21" t="s">
        <v>240</v>
      </c>
    </row>
    <row r="51" ht="15.75" customHeight="1">
      <c r="A51" s="21" t="str">
        <f>BSI_CALC!A50</f>
        <v/>
      </c>
      <c r="B51" s="21" t="str">
        <f>BSI_CALC!J50</f>
        <v/>
      </c>
      <c r="C51" s="21" t="str">
        <f>IF(A51="","",MIN(BSI_CALC!E50:BSI_CALC!I50))</f>
        <v/>
      </c>
      <c r="D51" s="21" t="str">
        <f>BSI_CALC!K50</f>
        <v/>
      </c>
      <c r="E51" s="21" t="str">
        <f>IF(A51="","",IF(C51&lt;=PARAMETERS!$B$18,"Rupture",IF(B51&gt;=PARAMETERS!$B$16,"Stable",IF(B51&lt;=PARAMETERS!$B$15,"Rupture",IF(AND(B51&lt;PARAMETERS!$B$14,D51&lt;=PARAMETERS!$B$17),"Escalating",IF(B51&lt;PARAMETERS!$B$14,"Tremor","Normal"))))))</f>
        <v/>
      </c>
      <c r="F51" s="21" t="s">
        <v>240</v>
      </c>
    </row>
    <row r="52" ht="15.75" customHeight="1">
      <c r="A52" s="21" t="str">
        <f>BSI_CALC!A51</f>
        <v/>
      </c>
      <c r="B52" s="21" t="str">
        <f>BSI_CALC!J51</f>
        <v/>
      </c>
      <c r="C52" s="21" t="str">
        <f>IF(A52="","",MIN(BSI_CALC!E51:BSI_CALC!I51))</f>
        <v/>
      </c>
      <c r="D52" s="21" t="str">
        <f>BSI_CALC!K51</f>
        <v/>
      </c>
      <c r="E52" s="21" t="str">
        <f>IF(A52="","",IF(C52&lt;=PARAMETERS!$B$18,"Rupture",IF(B52&gt;=PARAMETERS!$B$16,"Stable",IF(B52&lt;=PARAMETERS!$B$15,"Rupture",IF(AND(B52&lt;PARAMETERS!$B$14,D52&lt;=PARAMETERS!$B$17),"Escalating",IF(B52&lt;PARAMETERS!$B$14,"Tremor","Normal"))))))</f>
        <v/>
      </c>
      <c r="F52" s="21" t="s">
        <v>240</v>
      </c>
    </row>
    <row r="53" ht="15.75" customHeight="1">
      <c r="A53" s="21" t="str">
        <f>BSI_CALC!A52</f>
        <v/>
      </c>
      <c r="B53" s="21" t="str">
        <f>BSI_CALC!J52</f>
        <v/>
      </c>
      <c r="C53" s="21" t="str">
        <f>IF(A53="","",MIN(BSI_CALC!E52:BSI_CALC!I52))</f>
        <v/>
      </c>
      <c r="D53" s="21" t="str">
        <f>BSI_CALC!K52</f>
        <v/>
      </c>
      <c r="E53" s="21" t="str">
        <f>IF(A53="","",IF(C53&lt;=PARAMETERS!$B$18,"Rupture",IF(B53&gt;=PARAMETERS!$B$16,"Stable",IF(B53&lt;=PARAMETERS!$B$15,"Rupture",IF(AND(B53&lt;PARAMETERS!$B$14,D53&lt;=PARAMETERS!$B$17),"Escalating",IF(B53&lt;PARAMETERS!$B$14,"Tremor","Normal"))))))</f>
        <v/>
      </c>
      <c r="F53" s="21" t="s">
        <v>240</v>
      </c>
    </row>
    <row r="54" ht="15.75" customHeight="1">
      <c r="A54" s="21" t="str">
        <f>BSI_CALC!A53</f>
        <v/>
      </c>
      <c r="B54" s="21" t="str">
        <f>BSI_CALC!J53</f>
        <v/>
      </c>
      <c r="C54" s="21" t="str">
        <f>IF(A54="","",MIN(BSI_CALC!E53:BSI_CALC!I53))</f>
        <v/>
      </c>
      <c r="D54" s="21" t="str">
        <f>BSI_CALC!K53</f>
        <v/>
      </c>
      <c r="E54" s="21" t="str">
        <f>IF(A54="","",IF(C54&lt;=PARAMETERS!$B$18,"Rupture",IF(B54&gt;=PARAMETERS!$B$16,"Stable",IF(B54&lt;=PARAMETERS!$B$15,"Rupture",IF(AND(B54&lt;PARAMETERS!$B$14,D54&lt;=PARAMETERS!$B$17),"Escalating",IF(B54&lt;PARAMETERS!$B$14,"Tremor","Normal"))))))</f>
        <v/>
      </c>
      <c r="F54" s="21" t="s">
        <v>240</v>
      </c>
    </row>
    <row r="55" ht="15.75" customHeight="1">
      <c r="A55" s="21" t="str">
        <f>BSI_CALC!A54</f>
        <v/>
      </c>
      <c r="B55" s="21" t="str">
        <f>BSI_CALC!J54</f>
        <v/>
      </c>
      <c r="C55" s="21" t="str">
        <f>IF(A55="","",MIN(BSI_CALC!E54:BSI_CALC!I54))</f>
        <v/>
      </c>
      <c r="D55" s="21" t="str">
        <f>BSI_CALC!K54</f>
        <v/>
      </c>
      <c r="E55" s="21" t="str">
        <f>IF(A55="","",IF(C55&lt;=PARAMETERS!$B$18,"Rupture",IF(B55&gt;=PARAMETERS!$B$16,"Stable",IF(B55&lt;=PARAMETERS!$B$15,"Rupture",IF(AND(B55&lt;PARAMETERS!$B$14,D55&lt;=PARAMETERS!$B$17),"Escalating",IF(B55&lt;PARAMETERS!$B$14,"Tremor","Normal"))))))</f>
        <v/>
      </c>
      <c r="F55" s="21" t="s">
        <v>240</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522BEFE-0160-4C60-8FA1-E3A197BFB3FC}" filter="1" showAutoFilter="1">
      <autoFilter ref="$A$5:$F$55"/>
    </customSheetView>
  </customSheetViews>
  <printOptions/>
  <pageMargins bottom="1.0" footer="0.0" header="0.0" left="0.75" right="0.75" top="1.0"/>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0.0"/>
    <col customWidth="1" min="2" max="2" width="18.0"/>
    <col customWidth="1" min="3" max="3" width="28.0"/>
    <col customWidth="1" min="4" max="4" width="40.0"/>
    <col customWidth="1" min="5" max="26" width="8.71"/>
  </cols>
  <sheetData>
    <row r="1">
      <c r="A1" s="18" t="s">
        <v>241</v>
      </c>
    </row>
    <row r="3">
      <c r="A3" s="42" t="s">
        <v>146</v>
      </c>
      <c r="B3" s="42" t="s">
        <v>242</v>
      </c>
      <c r="C3" s="42" t="s">
        <v>243</v>
      </c>
      <c r="D3" s="42" t="s">
        <v>12</v>
      </c>
    </row>
    <row r="4">
      <c r="A4" s="43" t="s">
        <v>244</v>
      </c>
      <c r="B4" s="43" t="s">
        <v>245</v>
      </c>
      <c r="C4" s="43" t="s">
        <v>246</v>
      </c>
      <c r="D4" s="43" t="s">
        <v>247</v>
      </c>
    </row>
    <row r="5">
      <c r="A5" s="43" t="s">
        <v>248</v>
      </c>
      <c r="B5" s="43" t="s">
        <v>249</v>
      </c>
      <c r="C5" s="43" t="s">
        <v>246</v>
      </c>
      <c r="D5" s="43" t="s">
        <v>250</v>
      </c>
    </row>
    <row r="6">
      <c r="A6" s="43" t="s">
        <v>251</v>
      </c>
      <c r="B6" s="43" t="s">
        <v>252</v>
      </c>
      <c r="C6" s="43" t="s">
        <v>246</v>
      </c>
      <c r="D6" s="43" t="s">
        <v>253</v>
      </c>
    </row>
    <row r="7">
      <c r="A7" s="43" t="s">
        <v>254</v>
      </c>
      <c r="B7" s="43" t="s">
        <v>255</v>
      </c>
      <c r="C7" s="43" t="s">
        <v>246</v>
      </c>
      <c r="D7" s="43" t="s">
        <v>256</v>
      </c>
    </row>
    <row r="8">
      <c r="A8" s="43" t="s">
        <v>257</v>
      </c>
      <c r="B8" s="43" t="s">
        <v>258</v>
      </c>
      <c r="C8" s="43" t="s">
        <v>246</v>
      </c>
      <c r="D8" s="43" t="s">
        <v>259</v>
      </c>
    </row>
    <row r="9">
      <c r="A9" s="43" t="s">
        <v>38</v>
      </c>
      <c r="B9" s="43" t="s">
        <v>260</v>
      </c>
      <c r="C9" s="43" t="str">
        <f>IFERROR(AVERAGEIF(BSI_CALC!A5:A200,"&lt;&gt;",BSI_CALC!J5:J200),"")</f>
        <v/>
      </c>
      <c r="D9" s="43" t="s">
        <v>261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0"/>
    <col customWidth="1" min="2" max="2" width="34.0"/>
    <col customWidth="1" min="3" max="26" width="8.71"/>
  </cols>
  <sheetData>
    <row r="1">
      <c r="A1" s="18" t="s">
        <v>262</v>
      </c>
    </row>
    <row r="3">
      <c r="A3" s="44" t="s">
        <v>263</v>
      </c>
      <c r="B3" s="45" t="str">
        <f>IFERROR(AVERAGEIF(BSI_CALC!A5:A200,"&lt;&gt;",BSI_CALC!J5:J200),"")</f>
        <v/>
      </c>
    </row>
    <row r="4">
      <c r="A4" s="44" t="s">
        <v>264</v>
      </c>
      <c r="B4" s="45" t="str">
        <f>IFERROR(MINIFS(BSI_CALC!J5:J200,BSI_CALC!A5:A200,"&lt;&gt;"),"")</f>
        <v/>
      </c>
    </row>
    <row r="5">
      <c r="A5" s="44" t="s">
        <v>265</v>
      </c>
      <c r="B5" s="45" t="str">
        <f>LOOKUP(2,1/(STATE_MACHINE!A6:A55&lt;&gt;""),STATE_MACHINE!E6:E55)</f>
        <v>#N/A</v>
      </c>
    </row>
    <row r="7">
      <c r="A7" s="44" t="s">
        <v>266</v>
      </c>
      <c r="B7" s="45">
        <f>COUNTA(BSI_CALC!A5:A200)</f>
        <v>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8.0"/>
    <col customWidth="1" min="3" max="3" width="14.0"/>
    <col customWidth="1" min="4" max="4" width="60.0"/>
    <col customWidth="1" min="5" max="26" width="8.71"/>
  </cols>
  <sheetData>
    <row r="1">
      <c r="A1" s="18" t="s">
        <v>267</v>
      </c>
    </row>
    <row r="3">
      <c r="A3" s="46" t="s">
        <v>268</v>
      </c>
    </row>
    <row r="4">
      <c r="A4" s="47" t="s">
        <v>269</v>
      </c>
      <c r="B4" s="47" t="s">
        <v>270</v>
      </c>
      <c r="C4" s="47" t="s">
        <v>271</v>
      </c>
      <c r="D4" s="47" t="s">
        <v>272</v>
      </c>
    </row>
    <row r="5">
      <c r="A5" s="43" t="s">
        <v>273</v>
      </c>
      <c r="B5" s="43" t="s">
        <v>226</v>
      </c>
      <c r="C5" s="43">
        <v>0.2</v>
      </c>
      <c r="D5" s="43" t="s">
        <v>274</v>
      </c>
    </row>
    <row r="6">
      <c r="A6" s="43" t="s">
        <v>275</v>
      </c>
      <c r="B6" s="43" t="s">
        <v>227</v>
      </c>
      <c r="C6" s="43">
        <v>0.2</v>
      </c>
      <c r="D6" s="43" t="s">
        <v>276</v>
      </c>
    </row>
    <row r="7">
      <c r="A7" s="43" t="s">
        <v>277</v>
      </c>
      <c r="B7" s="43" t="s">
        <v>211</v>
      </c>
      <c r="C7" s="43">
        <v>0.2</v>
      </c>
      <c r="D7" s="43" t="s">
        <v>278</v>
      </c>
    </row>
    <row r="8">
      <c r="A8" s="43" t="s">
        <v>279</v>
      </c>
      <c r="B8" s="43" t="s">
        <v>228</v>
      </c>
      <c r="C8" s="43">
        <v>0.2</v>
      </c>
      <c r="D8" s="43" t="s">
        <v>280</v>
      </c>
    </row>
    <row r="9">
      <c r="A9" s="43" t="s">
        <v>281</v>
      </c>
      <c r="B9" s="43" t="s">
        <v>229</v>
      </c>
      <c r="C9" s="43">
        <v>0.2</v>
      </c>
      <c r="D9" s="43" t="s">
        <v>282</v>
      </c>
    </row>
    <row r="12">
      <c r="A12" s="46" t="s">
        <v>283</v>
      </c>
    </row>
    <row r="13">
      <c r="A13" s="47" t="s">
        <v>284</v>
      </c>
      <c r="B13" s="47" t="s">
        <v>285</v>
      </c>
      <c r="C13" s="47" t="s">
        <v>286</v>
      </c>
    </row>
    <row r="14">
      <c r="A14" s="43" t="s">
        <v>287</v>
      </c>
      <c r="B14" s="43">
        <v>70.0</v>
      </c>
      <c r="C14" s="43" t="s">
        <v>288</v>
      </c>
    </row>
    <row r="15">
      <c r="A15" s="43" t="s">
        <v>289</v>
      </c>
      <c r="B15" s="43">
        <v>50.0</v>
      </c>
      <c r="C15" s="43" t="s">
        <v>290</v>
      </c>
    </row>
    <row r="16">
      <c r="A16" s="43" t="s">
        <v>291</v>
      </c>
      <c r="B16" s="43">
        <v>80.0</v>
      </c>
      <c r="C16" s="43" t="s">
        <v>292</v>
      </c>
    </row>
    <row r="17">
      <c r="A17" s="43" t="s">
        <v>293</v>
      </c>
      <c r="B17" s="43">
        <v>-8.0</v>
      </c>
      <c r="C17" s="43" t="s">
        <v>294</v>
      </c>
    </row>
    <row r="18">
      <c r="A18" s="43" t="s">
        <v>295</v>
      </c>
      <c r="B18" s="43">
        <v>35.0</v>
      </c>
      <c r="C18" s="43" t="s">
        <v>296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8.0"/>
    <col customWidth="1" min="2" max="2" width="42.0"/>
    <col customWidth="1" min="3" max="3" width="18.0"/>
    <col customWidth="1" min="4" max="4" width="28.0"/>
    <col customWidth="1" min="5" max="5" width="24.0"/>
    <col customWidth="1" min="6" max="26" width="8.71"/>
  </cols>
  <sheetData>
    <row r="1">
      <c r="A1" s="18" t="s">
        <v>297</v>
      </c>
    </row>
    <row r="3">
      <c r="A3" s="20" t="s">
        <v>298</v>
      </c>
      <c r="B3" s="20" t="s">
        <v>286</v>
      </c>
      <c r="C3" s="20" t="s">
        <v>299</v>
      </c>
      <c r="D3" s="20" t="s">
        <v>300</v>
      </c>
      <c r="E3" s="20" t="s">
        <v>12</v>
      </c>
    </row>
    <row r="4">
      <c r="A4" s="21" t="s">
        <v>163</v>
      </c>
      <c r="B4" s="21" t="s">
        <v>301</v>
      </c>
      <c r="C4" s="21" t="s">
        <v>302</v>
      </c>
      <c r="D4" s="21" t="s">
        <v>303</v>
      </c>
      <c r="E4" s="21" t="s">
        <v>304</v>
      </c>
    </row>
    <row r="5">
      <c r="A5" s="21" t="s">
        <v>305</v>
      </c>
      <c r="B5" s="21" t="s">
        <v>306</v>
      </c>
      <c r="C5" s="21" t="s">
        <v>307</v>
      </c>
      <c r="D5" s="21" t="s">
        <v>308</v>
      </c>
      <c r="E5" s="21" t="s">
        <v>309</v>
      </c>
    </row>
    <row r="6">
      <c r="A6" s="21" t="s">
        <v>310</v>
      </c>
      <c r="B6" s="21" t="s">
        <v>311</v>
      </c>
      <c r="C6" s="21" t="s">
        <v>312</v>
      </c>
      <c r="D6" s="21" t="s">
        <v>313</v>
      </c>
      <c r="E6" s="21" t="s">
        <v>314</v>
      </c>
    </row>
    <row r="7">
      <c r="A7" s="21" t="s">
        <v>315</v>
      </c>
      <c r="B7" s="21" t="s">
        <v>316</v>
      </c>
      <c r="C7" s="21" t="s">
        <v>307</v>
      </c>
      <c r="D7" s="21" t="s">
        <v>317</v>
      </c>
      <c r="E7" s="21" t="s">
        <v>318</v>
      </c>
    </row>
    <row r="8">
      <c r="A8" s="21" t="s">
        <v>319</v>
      </c>
      <c r="B8" s="21" t="s">
        <v>320</v>
      </c>
      <c r="C8" s="21" t="s">
        <v>321</v>
      </c>
      <c r="D8" s="21" t="s">
        <v>322</v>
      </c>
      <c r="E8" s="21" t="s">
        <v>323</v>
      </c>
    </row>
    <row r="9">
      <c r="A9" s="21" t="s">
        <v>48</v>
      </c>
      <c r="B9" s="21" t="s">
        <v>324</v>
      </c>
      <c r="C9" s="21" t="s">
        <v>325</v>
      </c>
      <c r="D9" s="21" t="s">
        <v>326</v>
      </c>
      <c r="E9" s="21" t="s">
        <v>327</v>
      </c>
    </row>
    <row r="10">
      <c r="A10" s="21" t="s">
        <v>122</v>
      </c>
      <c r="B10" s="21" t="s">
        <v>328</v>
      </c>
      <c r="C10" s="21" t="s">
        <v>329</v>
      </c>
      <c r="D10" s="21" t="s">
        <v>330</v>
      </c>
      <c r="E10" s="21" t="s">
        <v>331</v>
      </c>
    </row>
    <row r="11">
      <c r="A11" s="21" t="s">
        <v>332</v>
      </c>
      <c r="B11" s="21" t="s">
        <v>333</v>
      </c>
      <c r="C11" s="21" t="s">
        <v>334</v>
      </c>
      <c r="D11" s="21" t="s">
        <v>330</v>
      </c>
      <c r="E11" s="21" t="s">
        <v>335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00BC9B6-6A8D-461D-9969-3E2CE619AADA}" filter="1" showAutoFilter="1">
      <autoFilter ref="$A$3:$E$11"/>
    </customSheetView>
  </customSheetViews>
  <printOptions/>
  <pageMargins bottom="1.0" footer="0.0" header="0.0" left="0.75" right="0.75" top="1.0"/>
  <pageSetup orientation="landscape"/>
  <drawing r:id="rId1"/>
  <tableParts count="1">
    <tablePart r:id="rId3"/>
  </tableParts>
</worksheet>
</file>